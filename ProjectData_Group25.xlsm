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limhan\Desktop\files\IE-351 Info\"/>
    </mc:Choice>
  </mc:AlternateContent>
  <xr:revisionPtr revIDLastSave="0" documentId="13_ncr:1_{1600427E-77A6-4437-B6AA-C130C0AAF70D}" xr6:coauthVersionLast="47" xr6:coauthVersionMax="47" xr10:uidLastSave="{00000000-0000-0000-0000-000000000000}"/>
  <bookViews>
    <workbookView xWindow="-120" yWindow="-120" windowWidth="29040" windowHeight="15840" tabRatio="811" firstSheet="12" activeTab="15" xr2:uid="{00000000-000D-0000-FFFF-FFFF00000000}"/>
  </bookViews>
  <sheets>
    <sheet name="MAIN" sheetId="16" r:id="rId1"/>
    <sheet name="CUSTOMERS" sheetId="17" r:id="rId2"/>
    <sheet name="BRANCHES" sheetId="9" r:id="rId3"/>
    <sheet name="SEGMENTS" sheetId="15" r:id="rId4"/>
    <sheet name="PRODUCTS" sheetId="8" r:id="rId5"/>
    <sheet name="RAW MATERIALS" sheetId="10" r:id="rId6"/>
    <sheet name="BOM" sheetId="12" r:id="rId7"/>
    <sheet name="SALES-SAMLA" sheetId="18" r:id="rId8"/>
    <sheet name="SALES-DRAGON" sheetId="19" r:id="rId9"/>
    <sheet name="SALES-ANDREA" sheetId="20" r:id="rId10"/>
    <sheet name="SALES-NORDEN" sheetId="21" r:id="rId11"/>
    <sheet name="SALES-FLISAT" sheetId="22" r:id="rId12"/>
    <sheet name="SALES-MULA" sheetId="23" r:id="rId13"/>
    <sheet name="SALES-TARVA" sheetId="24" r:id="rId14"/>
    <sheet name="PRODUCT ANALYSIS" sheetId="25" r:id="rId15"/>
    <sheet name="DATA FOR POWERBI" sheetId="26" r:id="rId16"/>
  </sheets>
  <definedNames>
    <definedName name="_xlnm._FilterDatabase" localSheetId="12" hidden="1">'SALES-MULA'!$A$1:$E$1001</definedName>
    <definedName name="_xlnm._FilterDatabase" localSheetId="10" hidden="1">'SALES-NORDEN'!$A$1:$E$1001</definedName>
    <definedName name="_xlnm._FilterDatabase" localSheetId="7" hidden="1">'SALES-SAMLA'!$A$1:$E$1001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25" l="1" a="1"/>
  <c r="C3" i="25" s="1"/>
  <c r="A3" i="25" a="1"/>
  <c r="A3" i="25" s="1"/>
  <c r="B3" i="25"/>
  <c r="B186" i="25" a="1"/>
  <c r="B186" i="25" s="1"/>
  <c r="D2" i="25" a="1"/>
  <c r="D2" i="25" l="1"/>
  <c r="G7" i="25"/>
  <c r="G2" i="25"/>
  <c r="G5" i="25"/>
  <c r="G4" i="25"/>
  <c r="G3" i="25"/>
  <c r="G6" i="25"/>
  <c r="G8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<sst xmlns="http://schemas.openxmlformats.org/spreadsheetml/2006/main" count="7071" uniqueCount="166">
  <si>
    <t>ANKARA</t>
  </si>
  <si>
    <t>İZMİR</t>
  </si>
  <si>
    <t>TRABZON</t>
  </si>
  <si>
    <t>İSTANBUL</t>
  </si>
  <si>
    <t>AY23900</t>
  </si>
  <si>
    <t>PP16200</t>
  </si>
  <si>
    <t>RS10700</t>
  </si>
  <si>
    <t>MN21300</t>
  </si>
  <si>
    <t>UK16000</t>
  </si>
  <si>
    <t>VL17300</t>
  </si>
  <si>
    <t>KN23800</t>
  </si>
  <si>
    <t>BB23800</t>
  </si>
  <si>
    <t>ZD14800</t>
  </si>
  <si>
    <t>GG26400</t>
  </si>
  <si>
    <t>PP15400</t>
  </si>
  <si>
    <t>LO16400</t>
  </si>
  <si>
    <t>EF18200</t>
  </si>
  <si>
    <t>DG25000</t>
  </si>
  <si>
    <t>VB23400</t>
  </si>
  <si>
    <t>PP19500</t>
  </si>
  <si>
    <t>MA29600</t>
  </si>
  <si>
    <t>UZ20600</t>
  </si>
  <si>
    <t>VU20700</t>
  </si>
  <si>
    <t>ZZ26500</t>
  </si>
  <si>
    <t>TF29500</t>
  </si>
  <si>
    <t>BRANCH CODE</t>
  </si>
  <si>
    <t>CITY</t>
  </si>
  <si>
    <t>PARIS</t>
  </si>
  <si>
    <t>MARSEILLE</t>
  </si>
  <si>
    <t>LYON</t>
  </si>
  <si>
    <t>TOULOUSE</t>
  </si>
  <si>
    <t>FR001</t>
  </si>
  <si>
    <t>FR002</t>
  </si>
  <si>
    <t>FR003</t>
  </si>
  <si>
    <t>FR004</t>
  </si>
  <si>
    <t>TR001</t>
  </si>
  <si>
    <t>GAZIANTEP</t>
  </si>
  <si>
    <t>ANTALYA</t>
  </si>
  <si>
    <t>UŞAK</t>
  </si>
  <si>
    <t>TEKİRDAĞ</t>
  </si>
  <si>
    <t>TR002</t>
  </si>
  <si>
    <t>TR003</t>
  </si>
  <si>
    <t>TR004</t>
  </si>
  <si>
    <t>TR005</t>
  </si>
  <si>
    <t>TR006</t>
  </si>
  <si>
    <t>TR007</t>
  </si>
  <si>
    <t>TR008</t>
  </si>
  <si>
    <t>DE001</t>
  </si>
  <si>
    <t>BERLIN</t>
  </si>
  <si>
    <t>HAMBURG</t>
  </si>
  <si>
    <t>FRANKFURT</t>
  </si>
  <si>
    <t>DE002</t>
  </si>
  <si>
    <t>DE003</t>
  </si>
  <si>
    <t>ES001</t>
  </si>
  <si>
    <t>MADRID</t>
  </si>
  <si>
    <t>BARCELONA</t>
  </si>
  <si>
    <t>ZARAGOZA</t>
  </si>
  <si>
    <t>SEVILLE</t>
  </si>
  <si>
    <t>VALENCIA</t>
  </si>
  <si>
    <t>BILBAO</t>
  </si>
  <si>
    <t>ES002</t>
  </si>
  <si>
    <t>ES003</t>
  </si>
  <si>
    <t>ES004</t>
  </si>
  <si>
    <t>ES005</t>
  </si>
  <si>
    <t>ES006</t>
  </si>
  <si>
    <t>AMSTERDAM</t>
  </si>
  <si>
    <t>EINDHOVEN</t>
  </si>
  <si>
    <t>MAASTRICHT</t>
  </si>
  <si>
    <t>UTRECHT</t>
  </si>
  <si>
    <t>ROTTERDAM</t>
  </si>
  <si>
    <t>NL001</t>
  </si>
  <si>
    <t>NL002</t>
  </si>
  <si>
    <t>NL003</t>
  </si>
  <si>
    <t>NL004</t>
  </si>
  <si>
    <t>NL005</t>
  </si>
  <si>
    <t>GR001</t>
  </si>
  <si>
    <t>PATRAS</t>
  </si>
  <si>
    <t>ATHENS</t>
  </si>
  <si>
    <t>LARISSA</t>
  </si>
  <si>
    <t>CHANIA</t>
  </si>
  <si>
    <t>GR002</t>
  </si>
  <si>
    <t>GR003</t>
  </si>
  <si>
    <t>GR004</t>
  </si>
  <si>
    <t>IT001</t>
  </si>
  <si>
    <t>ROME</t>
  </si>
  <si>
    <t>MILANO</t>
  </si>
  <si>
    <t>PALERMO</t>
  </si>
  <si>
    <t>BOLOGNA</t>
  </si>
  <si>
    <t>FLORENCE</t>
  </si>
  <si>
    <t>IT002</t>
  </si>
  <si>
    <t>IT003</t>
  </si>
  <si>
    <t>IT004</t>
  </si>
  <si>
    <t>IT005</t>
  </si>
  <si>
    <t>UA001</t>
  </si>
  <si>
    <t>KHARKIV</t>
  </si>
  <si>
    <t>UA002</t>
  </si>
  <si>
    <t>DONETSK</t>
  </si>
  <si>
    <t>AT001</t>
  </si>
  <si>
    <t>VIENNA</t>
  </si>
  <si>
    <t>GRAZ</t>
  </si>
  <si>
    <t>LINZ</t>
  </si>
  <si>
    <t>SALZBURG</t>
  </si>
  <si>
    <t>AT002</t>
  </si>
  <si>
    <t>AT003</t>
  </si>
  <si>
    <t>AT004</t>
  </si>
  <si>
    <t>GB001</t>
  </si>
  <si>
    <t>LONDON</t>
  </si>
  <si>
    <t>BIRMINGHAM</t>
  </si>
  <si>
    <t>SHEFFIELD</t>
  </si>
  <si>
    <t>SOUTHAMPTON</t>
  </si>
  <si>
    <t>LEICESTER</t>
  </si>
  <si>
    <t>CARDIFF</t>
  </si>
  <si>
    <t>LIVERPOOL</t>
  </si>
  <si>
    <t>GB002</t>
  </si>
  <si>
    <t>GB003</t>
  </si>
  <si>
    <t>GB004</t>
  </si>
  <si>
    <t>GB005</t>
  </si>
  <si>
    <t>GB006</t>
  </si>
  <si>
    <t>GB007</t>
  </si>
  <si>
    <t>PREMIUM</t>
  </si>
  <si>
    <t>SEGMENT</t>
  </si>
  <si>
    <t>LUXURY</t>
  </si>
  <si>
    <t>GENERAL</t>
  </si>
  <si>
    <t>NAME</t>
  </si>
  <si>
    <t>DESCRIPTION</t>
  </si>
  <si>
    <t>SEGMENT ID</t>
  </si>
  <si>
    <t>PRODUCT NAME</t>
  </si>
  <si>
    <t>ANDREA</t>
  </si>
  <si>
    <t>DRAGON</t>
  </si>
  <si>
    <t>SAMLA</t>
  </si>
  <si>
    <t>NORDEN</t>
  </si>
  <si>
    <t>FLISAT</t>
  </si>
  <si>
    <t>TARVA</t>
  </si>
  <si>
    <t>MULA</t>
  </si>
  <si>
    <t>BRANCH</t>
  </si>
  <si>
    <t>USED RAW MATERIAL</t>
  </si>
  <si>
    <t>NUMBER OF UNITS USED</t>
  </si>
  <si>
    <t>CODE</t>
  </si>
  <si>
    <t>UNIT PRICE</t>
  </si>
  <si>
    <t>OPENING DATE</t>
  </si>
  <si>
    <t>PRODUCT</t>
  </si>
  <si>
    <t>UNITS SOLD</t>
  </si>
  <si>
    <t>DATE</t>
  </si>
  <si>
    <t>GROUP ID:</t>
  </si>
  <si>
    <t>CUSTOMERID</t>
  </si>
  <si>
    <t>AGE</t>
  </si>
  <si>
    <t>GENDER</t>
  </si>
  <si>
    <t>YEAR</t>
  </si>
  <si>
    <t>TOTAL SALES</t>
  </si>
  <si>
    <t>TOTAL PROFIT</t>
  </si>
  <si>
    <t>AGE INTERVAL</t>
  </si>
  <si>
    <r>
      <t xml:space="preserve">FIRST </t>
    </r>
    <r>
      <rPr>
        <i/>
        <sz val="11"/>
        <color theme="1"/>
        <rFont val="Calibri"/>
        <family val="2"/>
        <charset val="162"/>
        <scheme val="minor"/>
      </rPr>
      <t>n</t>
    </r>
    <r>
      <rPr>
        <sz val="11"/>
        <color theme="1"/>
        <rFont val="Calibri"/>
        <family val="2"/>
        <charset val="162"/>
        <scheme val="minor"/>
      </rPr>
      <t xml:space="preserve"> MONTHS</t>
    </r>
  </si>
  <si>
    <t>SALES MONTH</t>
  </si>
  <si>
    <t>F</t>
  </si>
  <si>
    <t>M</t>
  </si>
  <si>
    <t>year dynamic</t>
  </si>
  <si>
    <t>51-55</t>
  </si>
  <si>
    <t>61-65</t>
  </si>
  <si>
    <t>26-30</t>
  </si>
  <si>
    <t>56-60</t>
  </si>
  <si>
    <t>20-25</t>
  </si>
  <si>
    <t>36-40</t>
  </si>
  <si>
    <t>41-45</t>
  </si>
  <si>
    <t>46-50</t>
  </si>
  <si>
    <t>31-35</t>
  </si>
  <si>
    <t>66-70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</si>
</sst>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₺&quot;"/>
    <numFmt numFmtId="165" formatCode="_-[$₺-41F]* #,##0_-;\-[$₺-41F]* #,##0_-;_-[$₺-41F]* &quot;-&quot;??_-;_-@_-"/>
    <numFmt numFmtId="167" formatCode="_-[$₺-41F]* #,##0.00_-;\-[$₺-41F]* #,##0.00_-;_-[$₺-41F]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48"/>
      <color theme="1"/>
      <name val="Calibri"/>
      <family val="2"/>
      <scheme val="minor"/>
    </font>
    <font>
      <i/>
      <sz val="11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Fill="1"/>
    <xf numFmtId="0" fontId="0" fillId="0" borderId="0" xfId="0" applyAlignment="1">
      <alignment horizontal="center"/>
    </xf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center"/>
    </xf>
    <xf numFmtId="0" fontId="2" fillId="0" borderId="0" xfId="0" applyFont="1"/>
    <xf numFmtId="0" fontId="1" fillId="0" borderId="0" xfId="0" applyFont="1"/>
    <xf numFmtId="165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4">
    <dxf>
      <numFmt numFmtId="19" formatCode="dd/mm/yyyy"/>
    </dxf>
    <dxf>
      <numFmt numFmtId="167" formatCode="_-[$₺-41F]* #,##0.00_-;\-[$₺-41F]* #,##0.00_-;_-[$₺-41F]* &quot;-&quot;??_-;_-@_-"/>
    </dxf>
    <dxf>
      <numFmt numFmtId="165" formatCode="_-[$₺-41F]* #,##0_-;\-[$₺-41F]* #,##0_-;_-[$₺-41F]* &quot;-&quot;??_-;_-@_-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12</xdr:col>
      <xdr:colOff>581025</xdr:colOff>
      <xdr:row>10</xdr:row>
      <xdr:rowOff>60081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AEC3DD3-1BA2-4AD7-81C5-D1D4F0CC9F22}"/>
            </a:ext>
          </a:extLst>
        </xdr:cNvPr>
        <xdr:cNvSpPr/>
      </xdr:nvSpPr>
      <xdr:spPr>
        <a:xfrm>
          <a:off x="2057400" y="0"/>
          <a:ext cx="2409825" cy="8220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 baseline="0">
              <a:solidFill>
                <a:srgbClr val="C00000"/>
              </a:solidFill>
            </a:rPr>
            <a:t>Do not delete any columns/rows or make any modifications on this sheet.</a:t>
          </a:r>
        </a:p>
        <a:p>
          <a:pPr algn="l"/>
          <a:r>
            <a:rPr lang="tr-TR" sz="1100" baseline="0">
              <a:solidFill>
                <a:srgbClr val="C00000"/>
              </a:solidFill>
            </a:rPr>
            <a:t>Yet, you are free to hide any rows or columns.. </a:t>
          </a:r>
          <a:endParaRPr lang="en-GB" sz="1100">
            <a:solidFill>
              <a:srgbClr val="C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16</xdr:col>
      <xdr:colOff>476250</xdr:colOff>
      <xdr:row>10</xdr:row>
      <xdr:rowOff>60081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CB76D11-3B6F-42C4-9589-E7EAB458004A}"/>
            </a:ext>
          </a:extLst>
        </xdr:cNvPr>
        <xdr:cNvSpPr/>
      </xdr:nvSpPr>
      <xdr:spPr>
        <a:xfrm>
          <a:off x="3505200" y="0"/>
          <a:ext cx="2409825" cy="8220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 baseline="0">
              <a:solidFill>
                <a:srgbClr val="C00000"/>
              </a:solidFill>
            </a:rPr>
            <a:t>Do not delete any columns/rows or make any modifications on this sheet.</a:t>
          </a:r>
        </a:p>
        <a:p>
          <a:pPr algn="l"/>
          <a:r>
            <a:rPr lang="tr-TR" sz="1100" baseline="0">
              <a:solidFill>
                <a:srgbClr val="C00000"/>
              </a:solidFill>
            </a:rPr>
            <a:t>Yet, you are free to hide any rows or columns.. </a:t>
          </a:r>
          <a:endParaRPr lang="en-GB" sz="1100">
            <a:solidFill>
              <a:srgbClr val="C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0</xdr:rowOff>
    </xdr:from>
    <xdr:to>
      <xdr:col>11</xdr:col>
      <xdr:colOff>585421</xdr:colOff>
      <xdr:row>12</xdr:row>
      <xdr:rowOff>60081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F3A2AEA-5B12-4AFC-AACC-298A3F0C7F3E}"/>
            </a:ext>
          </a:extLst>
        </xdr:cNvPr>
        <xdr:cNvSpPr/>
      </xdr:nvSpPr>
      <xdr:spPr>
        <a:xfrm>
          <a:off x="1633904" y="0"/>
          <a:ext cx="2409825" cy="8220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 baseline="0">
              <a:solidFill>
                <a:srgbClr val="C00000"/>
              </a:solidFill>
            </a:rPr>
            <a:t>Do not delete any columns/rows or make any modifications on this sheet.</a:t>
          </a:r>
        </a:p>
        <a:p>
          <a:pPr algn="l"/>
          <a:r>
            <a:rPr lang="tr-TR" sz="1100" baseline="0">
              <a:solidFill>
                <a:srgbClr val="C00000"/>
              </a:solidFill>
            </a:rPr>
            <a:t>Yet, you are free to hide any rows or columns.. </a:t>
          </a:r>
          <a:endParaRPr lang="en-GB" sz="1100">
            <a:solidFill>
              <a:srgbClr val="C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12</xdr:col>
      <xdr:colOff>577084</xdr:colOff>
      <xdr:row>10</xdr:row>
      <xdr:rowOff>60081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F7E865C-D172-4AA5-A462-7001BB09C2BD}"/>
            </a:ext>
          </a:extLst>
        </xdr:cNvPr>
        <xdr:cNvSpPr/>
      </xdr:nvSpPr>
      <xdr:spPr>
        <a:xfrm>
          <a:off x="1937845" y="0"/>
          <a:ext cx="2409825" cy="8220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 baseline="0">
              <a:solidFill>
                <a:srgbClr val="C00000"/>
              </a:solidFill>
            </a:rPr>
            <a:t>Do not delete any columns/rows or make any modifications on this sheet.</a:t>
          </a:r>
        </a:p>
        <a:p>
          <a:pPr algn="l"/>
          <a:r>
            <a:rPr lang="tr-TR" sz="1100" baseline="0">
              <a:solidFill>
                <a:srgbClr val="C00000"/>
              </a:solidFill>
            </a:rPr>
            <a:t>Yet, you are free to hide any rows or columns.. </a:t>
          </a:r>
          <a:endParaRPr lang="en-GB" sz="1100">
            <a:solidFill>
              <a:srgbClr val="C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12</xdr:row>
      <xdr:rowOff>0</xdr:rowOff>
    </xdr:from>
    <xdr:to>
      <xdr:col>14</xdr:col>
      <xdr:colOff>577084</xdr:colOff>
      <xdr:row>16</xdr:row>
      <xdr:rowOff>60081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F1910AC-788C-4434-82A4-C03020C021E0}"/>
            </a:ext>
          </a:extLst>
        </xdr:cNvPr>
        <xdr:cNvSpPr/>
      </xdr:nvSpPr>
      <xdr:spPr>
        <a:xfrm>
          <a:off x="2457450" y="0"/>
          <a:ext cx="2405884" cy="8220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 baseline="0">
              <a:solidFill>
                <a:srgbClr val="C00000"/>
              </a:solidFill>
            </a:rPr>
            <a:t>Do not delete any columns/rows or make any modifications on this sheet.</a:t>
          </a:r>
        </a:p>
        <a:p>
          <a:pPr algn="l"/>
          <a:r>
            <a:rPr lang="tr-TR" sz="1100" baseline="0">
              <a:solidFill>
                <a:srgbClr val="C00000"/>
              </a:solidFill>
            </a:rPr>
            <a:t>Yet, you are free to hide any rows or columns.. </a:t>
          </a:r>
          <a:endParaRPr lang="en-GB" sz="1100">
            <a:solidFill>
              <a:srgbClr val="C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10</xdr:row>
      <xdr:rowOff>0</xdr:rowOff>
    </xdr:from>
    <xdr:to>
      <xdr:col>13</xdr:col>
      <xdr:colOff>577084</xdr:colOff>
      <xdr:row>14</xdr:row>
      <xdr:rowOff>60081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45844DD-EB94-4152-9D81-EF0475CCBE2C}"/>
            </a:ext>
          </a:extLst>
        </xdr:cNvPr>
        <xdr:cNvSpPr/>
      </xdr:nvSpPr>
      <xdr:spPr>
        <a:xfrm>
          <a:off x="4476750" y="0"/>
          <a:ext cx="2405884" cy="8220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 baseline="0">
              <a:solidFill>
                <a:srgbClr val="C00000"/>
              </a:solidFill>
            </a:rPr>
            <a:t>Do not delete any columns/rows or make any modifications on this sheet.</a:t>
          </a:r>
        </a:p>
        <a:p>
          <a:pPr algn="l"/>
          <a:r>
            <a:rPr lang="tr-TR" sz="1100" baseline="0">
              <a:solidFill>
                <a:srgbClr val="C00000"/>
              </a:solidFill>
            </a:rPr>
            <a:t>Yet, you are free to hide any rows or columns.. </a:t>
          </a:r>
          <a:endParaRPr lang="en-GB" sz="1100">
            <a:solidFill>
              <a:srgbClr val="C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9</xdr:col>
      <xdr:colOff>577084</xdr:colOff>
      <xdr:row>4</xdr:row>
      <xdr:rowOff>60081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2212A9-C28C-46C7-9E62-1B0246F9A907}"/>
            </a:ext>
          </a:extLst>
        </xdr:cNvPr>
        <xdr:cNvSpPr/>
      </xdr:nvSpPr>
      <xdr:spPr>
        <a:xfrm>
          <a:off x="3962400" y="0"/>
          <a:ext cx="2405884" cy="8220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 baseline="0">
              <a:solidFill>
                <a:srgbClr val="C00000"/>
              </a:solidFill>
            </a:rPr>
            <a:t>Do not delete any columns/rows or make any modifications on this sheet.</a:t>
          </a:r>
        </a:p>
        <a:p>
          <a:pPr algn="l"/>
          <a:r>
            <a:rPr lang="tr-TR" sz="1100" baseline="0">
              <a:solidFill>
                <a:srgbClr val="C00000"/>
              </a:solidFill>
            </a:rPr>
            <a:t>Yet, you are free to hide any rows or columns.. </a:t>
          </a:r>
          <a:endParaRPr lang="en-GB" sz="1100">
            <a:solidFill>
              <a:srgbClr val="C0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9</xdr:col>
      <xdr:colOff>577084</xdr:colOff>
      <xdr:row>4</xdr:row>
      <xdr:rowOff>60081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3FDE621-D6E3-4386-AEC3-C6101F7C6D85}"/>
            </a:ext>
          </a:extLst>
        </xdr:cNvPr>
        <xdr:cNvSpPr/>
      </xdr:nvSpPr>
      <xdr:spPr>
        <a:xfrm>
          <a:off x="3962400" y="0"/>
          <a:ext cx="2405884" cy="8220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 baseline="0">
              <a:solidFill>
                <a:srgbClr val="C00000"/>
              </a:solidFill>
            </a:rPr>
            <a:t>Do not delete any columns/rows or make any modifications on this sheet.</a:t>
          </a:r>
        </a:p>
        <a:p>
          <a:pPr algn="l"/>
          <a:r>
            <a:rPr lang="tr-TR" sz="1100" baseline="0">
              <a:solidFill>
                <a:srgbClr val="C00000"/>
              </a:solidFill>
            </a:rPr>
            <a:t>Yet, you are free to hide any rows or columns.. </a:t>
          </a:r>
          <a:endParaRPr lang="en-GB" sz="1100">
            <a:solidFill>
              <a:srgbClr val="C0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9</xdr:col>
      <xdr:colOff>577084</xdr:colOff>
      <xdr:row>4</xdr:row>
      <xdr:rowOff>60081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938CEDF-BFA5-4745-BAD4-67230B9A611E}"/>
            </a:ext>
          </a:extLst>
        </xdr:cNvPr>
        <xdr:cNvSpPr/>
      </xdr:nvSpPr>
      <xdr:spPr>
        <a:xfrm>
          <a:off x="4667250" y="0"/>
          <a:ext cx="2405884" cy="8220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 baseline="0">
              <a:solidFill>
                <a:srgbClr val="C00000"/>
              </a:solidFill>
            </a:rPr>
            <a:t>Do not delete any columns/rows or make any modifications on this sheet.</a:t>
          </a:r>
        </a:p>
        <a:p>
          <a:pPr algn="l"/>
          <a:r>
            <a:rPr lang="tr-TR" sz="1100" baseline="0">
              <a:solidFill>
                <a:srgbClr val="C00000"/>
              </a:solidFill>
            </a:rPr>
            <a:t>Yet, you are free to hide any rows or columns.. </a:t>
          </a:r>
          <a:endParaRPr lang="en-GB" sz="1100">
            <a:solidFill>
              <a:srgbClr val="C0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9</xdr:col>
      <xdr:colOff>577084</xdr:colOff>
      <xdr:row>4</xdr:row>
      <xdr:rowOff>60081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2B5385D-4DA8-4F3D-9677-B473205C0568}"/>
            </a:ext>
          </a:extLst>
        </xdr:cNvPr>
        <xdr:cNvSpPr/>
      </xdr:nvSpPr>
      <xdr:spPr>
        <a:xfrm>
          <a:off x="4667250" y="0"/>
          <a:ext cx="2405884" cy="8220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 baseline="0">
              <a:solidFill>
                <a:srgbClr val="C00000"/>
              </a:solidFill>
            </a:rPr>
            <a:t>Do not delete any columns/rows or make any modifications on this sheet.</a:t>
          </a:r>
        </a:p>
        <a:p>
          <a:pPr algn="l"/>
          <a:r>
            <a:rPr lang="tr-TR" sz="1100" baseline="0">
              <a:solidFill>
                <a:srgbClr val="C00000"/>
              </a:solidFill>
            </a:rPr>
            <a:t>Yet, you are free to hide any rows or columns.. </a:t>
          </a:r>
          <a:endParaRPr lang="en-GB" sz="1100">
            <a:solidFill>
              <a:srgbClr val="C0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9</xdr:col>
      <xdr:colOff>577084</xdr:colOff>
      <xdr:row>4</xdr:row>
      <xdr:rowOff>60081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461DD9A-1F0F-480F-9E1A-1ACD7D0D7575}"/>
            </a:ext>
          </a:extLst>
        </xdr:cNvPr>
        <xdr:cNvSpPr/>
      </xdr:nvSpPr>
      <xdr:spPr>
        <a:xfrm>
          <a:off x="4667250" y="0"/>
          <a:ext cx="2405884" cy="8220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 baseline="0">
              <a:solidFill>
                <a:srgbClr val="C00000"/>
              </a:solidFill>
            </a:rPr>
            <a:t>Do not delete any columns/rows or make any modifications on this sheet.</a:t>
          </a:r>
        </a:p>
        <a:p>
          <a:pPr algn="l"/>
          <a:r>
            <a:rPr lang="tr-TR" sz="1100" baseline="0">
              <a:solidFill>
                <a:srgbClr val="C00000"/>
              </a:solidFill>
            </a:rPr>
            <a:t>Yet, you are free to hide any rows or columns.. </a:t>
          </a:r>
          <a:endParaRPr lang="en-GB" sz="1100">
            <a:solidFill>
              <a:srgbClr val="C0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9</xdr:col>
      <xdr:colOff>577084</xdr:colOff>
      <xdr:row>4</xdr:row>
      <xdr:rowOff>60081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EA9D51C-B735-4280-8465-AD7A48A1AEEF}"/>
            </a:ext>
          </a:extLst>
        </xdr:cNvPr>
        <xdr:cNvSpPr/>
      </xdr:nvSpPr>
      <xdr:spPr>
        <a:xfrm>
          <a:off x="4667250" y="0"/>
          <a:ext cx="2405884" cy="8220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 baseline="0">
              <a:solidFill>
                <a:srgbClr val="C00000"/>
              </a:solidFill>
            </a:rPr>
            <a:t>Do not delete any columns/rows or make any modifications on this sheet.</a:t>
          </a:r>
        </a:p>
        <a:p>
          <a:pPr algn="l"/>
          <a:r>
            <a:rPr lang="tr-TR" sz="1100" baseline="0">
              <a:solidFill>
                <a:srgbClr val="C00000"/>
              </a:solidFill>
            </a:rPr>
            <a:t>Yet, you are free to hide any rows or columns.. </a:t>
          </a:r>
          <a:endParaRPr lang="en-GB" sz="1100">
            <a:solidFill>
              <a:srgbClr val="C0000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9</xdr:col>
      <xdr:colOff>577084</xdr:colOff>
      <xdr:row>4</xdr:row>
      <xdr:rowOff>60081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74E013B-7722-4ADB-A5A7-047CFB57833E}"/>
            </a:ext>
          </a:extLst>
        </xdr:cNvPr>
        <xdr:cNvSpPr/>
      </xdr:nvSpPr>
      <xdr:spPr>
        <a:xfrm>
          <a:off x="4667250" y="0"/>
          <a:ext cx="2405884" cy="8220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 baseline="0">
              <a:solidFill>
                <a:srgbClr val="C00000"/>
              </a:solidFill>
            </a:rPr>
            <a:t>Do not delete any columns/rows or make any modifications on this sheet.</a:t>
          </a:r>
        </a:p>
        <a:p>
          <a:pPr algn="l"/>
          <a:r>
            <a:rPr lang="tr-TR" sz="1100" baseline="0">
              <a:solidFill>
                <a:srgbClr val="C00000"/>
              </a:solidFill>
            </a:rPr>
            <a:t>Yet, you are free to hide any rows or columns.. </a:t>
          </a:r>
          <a:endParaRPr lang="en-GB" sz="1100">
            <a:solidFill>
              <a:srgbClr val="C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ED3D6C-38F8-4B17-AF36-2687A41EA742}" name="Table2" displayName="Table2" ref="A1:N1038" totalsRowShown="0">
  <autoFilter ref="A1:N1038" xr:uid="{EDED3D6C-38F8-4B17-AF36-2687A41EA742}"/>
  <tableColumns count="14">
    <tableColumn id="1" xr3:uid="{3E63B554-8CFE-4A18-A685-EF20604583A6}" name="BRANCH"/>
    <tableColumn id="2" xr3:uid="{FF2E6762-8C8E-49FE-A12F-0A494E0CC591}" name="CITY"/>
    <tableColumn id="3" xr3:uid="{8D85C2B9-EBD2-439C-BA2F-8F42DA741E2E}" name="OPENING DATE" dataDxfId="3"/>
    <tableColumn id="4" xr3:uid="{D711E0C6-CF09-4537-BBC8-4DA8552CB331}" name="PRODUCT"/>
    <tableColumn id="5" xr3:uid="{C26C4B61-0FF9-4F4B-A107-5DD57CE427A6}" name="SEGMENT"/>
    <tableColumn id="6" xr3:uid="{90A6EDE1-2170-4840-8438-74FF1BC2F549}" name="UNIT PRICE" dataDxfId="2"/>
    <tableColumn id="7" xr3:uid="{28378512-245D-42AC-B105-E0D632D3FB2A}" name="UNITS SOLD"/>
    <tableColumn id="8" xr3:uid="{7AE32858-F13C-4C55-B4E0-8F22A676A6E4}" name="TOTAL PROFIT" dataDxfId="1"/>
    <tableColumn id="9" xr3:uid="{93CA5753-3A92-49E4-8CC2-C1573099FDC1}" name="DATE" dataDxfId="0"/>
    <tableColumn id="10" xr3:uid="{86F5DB0A-CD25-4BFA-BB6C-96387CAA33F8}" name="SALES MONTH"/>
    <tableColumn id="11" xr3:uid="{10642D78-2AE8-4587-A2E7-9812C0559FFF}" name="CUSTOMERID"/>
    <tableColumn id="12" xr3:uid="{62F6C7F6-E4CE-4F05-AB56-477BB33F0E73}" name="AGE"/>
    <tableColumn id="13" xr3:uid="{C995BA1B-E438-4230-B231-48163EBF9670}" name="AGE INTERVAL"/>
    <tableColumn id="14" xr3:uid="{AE3E5B64-BB76-45B8-B052-E149AEE8E756}" name="GEND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"/>
  <sheetViews>
    <sheetView workbookViewId="0">
      <selection activeCell="B1" sqref="B1"/>
    </sheetView>
  </sheetViews>
  <sheetFormatPr defaultColWidth="0" defaultRowHeight="15" customHeight="1" zeroHeight="1" x14ac:dyDescent="0.25"/>
  <cols>
    <col min="1" max="1" width="43.28515625" bestFit="1" customWidth="1"/>
    <col min="2" max="2" width="11.85546875" bestFit="1" customWidth="1"/>
    <col min="3" max="16384" width="9.140625" hidden="1"/>
  </cols>
  <sheetData>
    <row r="1" spans="1:2" ht="62.25" thickBot="1" x14ac:dyDescent="0.95">
      <c r="A1" s="8" t="s">
        <v>143</v>
      </c>
      <c r="B1" s="9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28302-196A-4B55-8786-DF65A4A735F5}">
  <sheetPr codeName="Sheet8"/>
  <dimension ref="F1:H607"/>
  <sheetViews>
    <sheetView topLeftCell="F7" workbookViewId="0">
      <selection activeCell="A2" sqref="A2"/>
    </sheetView>
  </sheetViews>
  <sheetFormatPr defaultRowHeight="15" x14ac:dyDescent="0.25"/>
  <cols>
    <col min="1" max="5" width="0" hidden="1" customWidth="1"/>
    <col min="6" max="6" width="12.5703125" bestFit="1" customWidth="1"/>
  </cols>
  <sheetData>
    <row r="1" spans="6:8" hidden="1" x14ac:dyDescent="0.25"/>
    <row r="2" spans="6:8" hidden="1" x14ac:dyDescent="0.25"/>
    <row r="3" spans="6:8" hidden="1" x14ac:dyDescent="0.25"/>
    <row r="4" spans="6:8" hidden="1" x14ac:dyDescent="0.25"/>
    <row r="5" spans="6:8" hidden="1" x14ac:dyDescent="0.25"/>
    <row r="6" spans="6:8" hidden="1" x14ac:dyDescent="0.25"/>
    <row r="7" spans="6:8" x14ac:dyDescent="0.25">
      <c r="F7" t="s">
        <v>144</v>
      </c>
      <c r="G7" t="s">
        <v>145</v>
      </c>
      <c r="H7" t="s">
        <v>146</v>
      </c>
    </row>
    <row r="8" spans="6:8" x14ac:dyDescent="0.25">
      <c r="F8">
        <v>1</v>
      </c>
      <c r="G8">
        <v>33</v>
      </c>
      <c r="H8" t="s">
        <v>153</v>
      </c>
    </row>
    <row r="9" spans="6:8" x14ac:dyDescent="0.25">
      <c r="F9">
        <v>2</v>
      </c>
      <c r="G9">
        <v>61</v>
      </c>
      <c r="H9" t="s">
        <v>154</v>
      </c>
    </row>
    <row r="10" spans="6:8" x14ac:dyDescent="0.25">
      <c r="F10">
        <v>3</v>
      </c>
      <c r="G10">
        <v>62</v>
      </c>
      <c r="H10" t="s">
        <v>153</v>
      </c>
    </row>
    <row r="11" spans="6:8" x14ac:dyDescent="0.25">
      <c r="F11">
        <v>4</v>
      </c>
      <c r="G11">
        <v>50</v>
      </c>
      <c r="H11" t="s">
        <v>154</v>
      </c>
    </row>
    <row r="12" spans="6:8" x14ac:dyDescent="0.25">
      <c r="F12">
        <v>5</v>
      </c>
      <c r="G12">
        <v>25</v>
      </c>
      <c r="H12" t="s">
        <v>154</v>
      </c>
    </row>
    <row r="13" spans="6:8" x14ac:dyDescent="0.25">
      <c r="F13">
        <v>6</v>
      </c>
      <c r="G13">
        <v>35</v>
      </c>
      <c r="H13" t="s">
        <v>153</v>
      </c>
    </row>
    <row r="14" spans="6:8" x14ac:dyDescent="0.25">
      <c r="F14">
        <v>7</v>
      </c>
      <c r="G14">
        <v>30</v>
      </c>
      <c r="H14" t="s">
        <v>153</v>
      </c>
    </row>
    <row r="15" spans="6:8" x14ac:dyDescent="0.25">
      <c r="F15">
        <v>8</v>
      </c>
      <c r="G15">
        <v>58</v>
      </c>
      <c r="H15" t="s">
        <v>154</v>
      </c>
    </row>
    <row r="16" spans="6:8" x14ac:dyDescent="0.25">
      <c r="F16">
        <v>9</v>
      </c>
      <c r="G16">
        <v>48</v>
      </c>
      <c r="H16" t="s">
        <v>154</v>
      </c>
    </row>
    <row r="17" spans="6:8" x14ac:dyDescent="0.25">
      <c r="F17">
        <v>10</v>
      </c>
      <c r="G17">
        <v>49</v>
      </c>
      <c r="H17" t="s">
        <v>153</v>
      </c>
    </row>
    <row r="18" spans="6:8" x14ac:dyDescent="0.25">
      <c r="F18">
        <v>11</v>
      </c>
      <c r="G18">
        <v>57</v>
      </c>
      <c r="H18" t="s">
        <v>154</v>
      </c>
    </row>
    <row r="19" spans="6:8" x14ac:dyDescent="0.25">
      <c r="F19">
        <v>12</v>
      </c>
      <c r="G19">
        <v>56</v>
      </c>
      <c r="H19" t="s">
        <v>153</v>
      </c>
    </row>
    <row r="20" spans="6:8" x14ac:dyDescent="0.25">
      <c r="F20">
        <v>13</v>
      </c>
      <c r="G20">
        <v>54</v>
      </c>
      <c r="H20" t="s">
        <v>154</v>
      </c>
    </row>
    <row r="21" spans="6:8" x14ac:dyDescent="0.25">
      <c r="F21">
        <v>14</v>
      </c>
      <c r="G21">
        <v>57</v>
      </c>
      <c r="H21" t="s">
        <v>154</v>
      </c>
    </row>
    <row r="22" spans="6:8" x14ac:dyDescent="0.25">
      <c r="F22">
        <v>15</v>
      </c>
      <c r="G22">
        <v>33</v>
      </c>
      <c r="H22" t="s">
        <v>153</v>
      </c>
    </row>
    <row r="23" spans="6:8" x14ac:dyDescent="0.25">
      <c r="F23">
        <v>16</v>
      </c>
      <c r="G23">
        <v>54</v>
      </c>
      <c r="H23" t="s">
        <v>154</v>
      </c>
    </row>
    <row r="24" spans="6:8" x14ac:dyDescent="0.25">
      <c r="F24">
        <v>17</v>
      </c>
      <c r="G24">
        <v>28</v>
      </c>
      <c r="H24" t="s">
        <v>153</v>
      </c>
    </row>
    <row r="25" spans="6:8" x14ac:dyDescent="0.25">
      <c r="F25">
        <v>18</v>
      </c>
      <c r="G25">
        <v>59</v>
      </c>
      <c r="H25" t="s">
        <v>154</v>
      </c>
    </row>
    <row r="26" spans="6:8" x14ac:dyDescent="0.25">
      <c r="F26">
        <v>19</v>
      </c>
      <c r="G26">
        <v>40</v>
      </c>
      <c r="H26" t="s">
        <v>153</v>
      </c>
    </row>
    <row r="27" spans="6:8" x14ac:dyDescent="0.25">
      <c r="F27">
        <v>20</v>
      </c>
      <c r="G27">
        <v>59</v>
      </c>
      <c r="H27" t="s">
        <v>154</v>
      </c>
    </row>
    <row r="28" spans="6:8" x14ac:dyDescent="0.25">
      <c r="F28">
        <v>21</v>
      </c>
      <c r="G28">
        <v>47</v>
      </c>
      <c r="H28" t="s">
        <v>154</v>
      </c>
    </row>
    <row r="29" spans="6:8" x14ac:dyDescent="0.25">
      <c r="F29">
        <v>22</v>
      </c>
      <c r="G29">
        <v>58</v>
      </c>
      <c r="H29" t="s">
        <v>153</v>
      </c>
    </row>
    <row r="30" spans="6:8" x14ac:dyDescent="0.25">
      <c r="F30">
        <v>23</v>
      </c>
      <c r="G30">
        <v>48</v>
      </c>
      <c r="H30" t="s">
        <v>154</v>
      </c>
    </row>
    <row r="31" spans="6:8" x14ac:dyDescent="0.25">
      <c r="F31">
        <v>24</v>
      </c>
      <c r="G31">
        <v>35</v>
      </c>
      <c r="H31" t="s">
        <v>153</v>
      </c>
    </row>
    <row r="32" spans="6:8" x14ac:dyDescent="0.25">
      <c r="F32">
        <v>25</v>
      </c>
      <c r="G32">
        <v>59</v>
      </c>
      <c r="H32" t="s">
        <v>154</v>
      </c>
    </row>
    <row r="33" spans="6:8" x14ac:dyDescent="0.25">
      <c r="F33">
        <v>26</v>
      </c>
      <c r="G33">
        <v>54</v>
      </c>
      <c r="H33" t="s">
        <v>154</v>
      </c>
    </row>
    <row r="34" spans="6:8" x14ac:dyDescent="0.25">
      <c r="F34">
        <v>27</v>
      </c>
      <c r="G34">
        <v>56</v>
      </c>
      <c r="H34" t="s">
        <v>154</v>
      </c>
    </row>
    <row r="35" spans="6:8" x14ac:dyDescent="0.25">
      <c r="F35">
        <v>28</v>
      </c>
      <c r="G35">
        <v>55</v>
      </c>
      <c r="H35" t="s">
        <v>154</v>
      </c>
    </row>
    <row r="36" spans="6:8" x14ac:dyDescent="0.25">
      <c r="F36">
        <v>29</v>
      </c>
      <c r="G36">
        <v>58</v>
      </c>
      <c r="H36" t="s">
        <v>154</v>
      </c>
    </row>
    <row r="37" spans="6:8" x14ac:dyDescent="0.25">
      <c r="F37">
        <v>30</v>
      </c>
      <c r="G37">
        <v>54</v>
      </c>
      <c r="H37" t="s">
        <v>153</v>
      </c>
    </row>
    <row r="38" spans="6:8" x14ac:dyDescent="0.25">
      <c r="F38">
        <v>31</v>
      </c>
      <c r="G38">
        <v>49</v>
      </c>
      <c r="H38" t="s">
        <v>154</v>
      </c>
    </row>
    <row r="39" spans="6:8" x14ac:dyDescent="0.25">
      <c r="F39">
        <v>32</v>
      </c>
      <c r="G39">
        <v>59</v>
      </c>
      <c r="H39" t="s">
        <v>154</v>
      </c>
    </row>
    <row r="40" spans="6:8" x14ac:dyDescent="0.25">
      <c r="F40">
        <v>33</v>
      </c>
      <c r="G40">
        <v>60</v>
      </c>
      <c r="H40" t="s">
        <v>154</v>
      </c>
    </row>
    <row r="41" spans="6:8" x14ac:dyDescent="0.25">
      <c r="F41">
        <v>34</v>
      </c>
      <c r="G41">
        <v>54</v>
      </c>
      <c r="H41" t="s">
        <v>154</v>
      </c>
    </row>
    <row r="42" spans="6:8" x14ac:dyDescent="0.25">
      <c r="F42">
        <v>35</v>
      </c>
      <c r="G42">
        <v>49</v>
      </c>
      <c r="H42" t="s">
        <v>154</v>
      </c>
    </row>
    <row r="43" spans="6:8" x14ac:dyDescent="0.25">
      <c r="F43">
        <v>36</v>
      </c>
      <c r="G43">
        <v>30</v>
      </c>
      <c r="H43" t="s">
        <v>153</v>
      </c>
    </row>
    <row r="44" spans="6:8" x14ac:dyDescent="0.25">
      <c r="F44">
        <v>37</v>
      </c>
      <c r="G44">
        <v>48</v>
      </c>
      <c r="H44" t="s">
        <v>153</v>
      </c>
    </row>
    <row r="45" spans="6:8" x14ac:dyDescent="0.25">
      <c r="F45">
        <v>38</v>
      </c>
      <c r="G45">
        <v>53</v>
      </c>
      <c r="H45" t="s">
        <v>154</v>
      </c>
    </row>
    <row r="46" spans="6:8" x14ac:dyDescent="0.25">
      <c r="F46">
        <v>39</v>
      </c>
      <c r="G46">
        <v>21</v>
      </c>
      <c r="H46" t="s">
        <v>153</v>
      </c>
    </row>
    <row r="47" spans="6:8" x14ac:dyDescent="0.25">
      <c r="F47">
        <v>40</v>
      </c>
      <c r="G47">
        <v>59</v>
      </c>
      <c r="H47" t="s">
        <v>154</v>
      </c>
    </row>
    <row r="48" spans="6:8" x14ac:dyDescent="0.25">
      <c r="F48">
        <v>41</v>
      </c>
      <c r="G48">
        <v>54</v>
      </c>
      <c r="H48" t="s">
        <v>154</v>
      </c>
    </row>
    <row r="49" spans="6:8" x14ac:dyDescent="0.25">
      <c r="F49">
        <v>42</v>
      </c>
      <c r="G49">
        <v>65</v>
      </c>
      <c r="H49" t="s">
        <v>153</v>
      </c>
    </row>
    <row r="50" spans="6:8" x14ac:dyDescent="0.25">
      <c r="F50">
        <v>43</v>
      </c>
      <c r="G50">
        <v>60</v>
      </c>
      <c r="H50" t="s">
        <v>153</v>
      </c>
    </row>
    <row r="51" spans="6:8" x14ac:dyDescent="0.25">
      <c r="F51">
        <v>44</v>
      </c>
      <c r="G51">
        <v>45</v>
      </c>
      <c r="H51" t="s">
        <v>154</v>
      </c>
    </row>
    <row r="52" spans="6:8" x14ac:dyDescent="0.25">
      <c r="F52">
        <v>45</v>
      </c>
      <c r="G52">
        <v>43</v>
      </c>
      <c r="H52" t="s">
        <v>153</v>
      </c>
    </row>
    <row r="53" spans="6:8" x14ac:dyDescent="0.25">
      <c r="F53">
        <v>46</v>
      </c>
      <c r="G53">
        <v>63</v>
      </c>
      <c r="H53" t="s">
        <v>153</v>
      </c>
    </row>
    <row r="54" spans="6:8" x14ac:dyDescent="0.25">
      <c r="F54">
        <v>47</v>
      </c>
      <c r="G54">
        <v>60</v>
      </c>
      <c r="H54" t="s">
        <v>154</v>
      </c>
    </row>
    <row r="55" spans="6:8" x14ac:dyDescent="0.25">
      <c r="F55">
        <v>48</v>
      </c>
      <c r="G55">
        <v>30</v>
      </c>
      <c r="H55" t="s">
        <v>153</v>
      </c>
    </row>
    <row r="56" spans="6:8" x14ac:dyDescent="0.25">
      <c r="F56">
        <v>49</v>
      </c>
      <c r="G56">
        <v>23</v>
      </c>
      <c r="H56" t="s">
        <v>154</v>
      </c>
    </row>
    <row r="57" spans="6:8" x14ac:dyDescent="0.25">
      <c r="F57">
        <v>50</v>
      </c>
      <c r="G57">
        <v>50</v>
      </c>
      <c r="H57" t="s">
        <v>154</v>
      </c>
    </row>
    <row r="58" spans="6:8" x14ac:dyDescent="0.25">
      <c r="F58">
        <v>51</v>
      </c>
      <c r="G58">
        <v>50</v>
      </c>
      <c r="H58" t="s">
        <v>153</v>
      </c>
    </row>
    <row r="59" spans="6:8" x14ac:dyDescent="0.25">
      <c r="F59">
        <v>52</v>
      </c>
      <c r="G59">
        <v>54</v>
      </c>
      <c r="H59" t="s">
        <v>154</v>
      </c>
    </row>
    <row r="60" spans="6:8" x14ac:dyDescent="0.25">
      <c r="F60">
        <v>53</v>
      </c>
      <c r="G60">
        <v>55</v>
      </c>
      <c r="H60" t="s">
        <v>154</v>
      </c>
    </row>
    <row r="61" spans="6:8" x14ac:dyDescent="0.25">
      <c r="F61">
        <v>54</v>
      </c>
      <c r="G61">
        <v>42</v>
      </c>
      <c r="H61" t="s">
        <v>153</v>
      </c>
    </row>
    <row r="62" spans="6:8" x14ac:dyDescent="0.25">
      <c r="F62">
        <v>55</v>
      </c>
      <c r="G62">
        <v>55</v>
      </c>
      <c r="H62" t="s">
        <v>154</v>
      </c>
    </row>
    <row r="63" spans="6:8" x14ac:dyDescent="0.25">
      <c r="F63">
        <v>56</v>
      </c>
      <c r="G63">
        <v>55</v>
      </c>
      <c r="H63" t="s">
        <v>154</v>
      </c>
    </row>
    <row r="64" spans="6:8" x14ac:dyDescent="0.25">
      <c r="F64">
        <v>57</v>
      </c>
      <c r="G64">
        <v>59</v>
      </c>
      <c r="H64" t="s">
        <v>154</v>
      </c>
    </row>
    <row r="65" spans="6:8" x14ac:dyDescent="0.25">
      <c r="F65">
        <v>58</v>
      </c>
      <c r="G65">
        <v>25</v>
      </c>
      <c r="H65" t="s">
        <v>153</v>
      </c>
    </row>
    <row r="66" spans="6:8" x14ac:dyDescent="0.25">
      <c r="F66">
        <v>59</v>
      </c>
      <c r="G66">
        <v>43</v>
      </c>
      <c r="H66" t="s">
        <v>154</v>
      </c>
    </row>
    <row r="67" spans="6:8" x14ac:dyDescent="0.25">
      <c r="F67">
        <v>60</v>
      </c>
      <c r="G67">
        <v>36</v>
      </c>
      <c r="H67" t="s">
        <v>153</v>
      </c>
    </row>
    <row r="68" spans="6:8" x14ac:dyDescent="0.25">
      <c r="F68">
        <v>61</v>
      </c>
      <c r="G68">
        <v>42</v>
      </c>
      <c r="H68" t="s">
        <v>154</v>
      </c>
    </row>
    <row r="69" spans="6:8" x14ac:dyDescent="0.25">
      <c r="F69">
        <v>62</v>
      </c>
      <c r="G69">
        <v>30</v>
      </c>
      <c r="H69" t="s">
        <v>153</v>
      </c>
    </row>
    <row r="70" spans="6:8" x14ac:dyDescent="0.25">
      <c r="F70">
        <v>63</v>
      </c>
      <c r="G70">
        <v>22</v>
      </c>
      <c r="H70" t="s">
        <v>153</v>
      </c>
    </row>
    <row r="71" spans="6:8" x14ac:dyDescent="0.25">
      <c r="F71">
        <v>64</v>
      </c>
      <c r="G71">
        <v>51</v>
      </c>
      <c r="H71" t="s">
        <v>154</v>
      </c>
    </row>
    <row r="72" spans="6:8" x14ac:dyDescent="0.25">
      <c r="F72">
        <v>65</v>
      </c>
      <c r="G72">
        <v>30</v>
      </c>
      <c r="H72" t="s">
        <v>153</v>
      </c>
    </row>
    <row r="73" spans="6:8" x14ac:dyDescent="0.25">
      <c r="F73">
        <v>66</v>
      </c>
      <c r="G73">
        <v>55</v>
      </c>
      <c r="H73" t="s">
        <v>154</v>
      </c>
    </row>
    <row r="74" spans="6:8" x14ac:dyDescent="0.25">
      <c r="F74">
        <v>67</v>
      </c>
      <c r="G74">
        <v>30</v>
      </c>
      <c r="H74" t="s">
        <v>154</v>
      </c>
    </row>
    <row r="75" spans="6:8" x14ac:dyDescent="0.25">
      <c r="F75">
        <v>68</v>
      </c>
      <c r="G75">
        <v>62</v>
      </c>
      <c r="H75" t="s">
        <v>153</v>
      </c>
    </row>
    <row r="76" spans="6:8" x14ac:dyDescent="0.25">
      <c r="F76">
        <v>69</v>
      </c>
      <c r="G76">
        <v>56</v>
      </c>
      <c r="H76" t="s">
        <v>153</v>
      </c>
    </row>
    <row r="77" spans="6:8" x14ac:dyDescent="0.25">
      <c r="F77">
        <v>70</v>
      </c>
      <c r="G77">
        <v>36</v>
      </c>
      <c r="H77" t="s">
        <v>154</v>
      </c>
    </row>
    <row r="78" spans="6:8" x14ac:dyDescent="0.25">
      <c r="F78">
        <v>71</v>
      </c>
      <c r="G78">
        <v>53</v>
      </c>
      <c r="H78" t="s">
        <v>154</v>
      </c>
    </row>
    <row r="79" spans="6:8" x14ac:dyDescent="0.25">
      <c r="F79">
        <v>72</v>
      </c>
      <c r="G79">
        <v>60</v>
      </c>
      <c r="H79" t="s">
        <v>153</v>
      </c>
    </row>
    <row r="80" spans="6:8" x14ac:dyDescent="0.25">
      <c r="F80">
        <v>73</v>
      </c>
      <c r="G80">
        <v>56</v>
      </c>
      <c r="H80" t="s">
        <v>154</v>
      </c>
    </row>
    <row r="81" spans="6:8" x14ac:dyDescent="0.25">
      <c r="F81">
        <v>74</v>
      </c>
      <c r="G81">
        <v>69</v>
      </c>
      <c r="H81" t="s">
        <v>154</v>
      </c>
    </row>
    <row r="82" spans="6:8" x14ac:dyDescent="0.25">
      <c r="F82">
        <v>75</v>
      </c>
      <c r="G82">
        <v>59</v>
      </c>
      <c r="H82" t="s">
        <v>153</v>
      </c>
    </row>
    <row r="83" spans="6:8" x14ac:dyDescent="0.25">
      <c r="F83">
        <v>76</v>
      </c>
      <c r="G83">
        <v>35</v>
      </c>
      <c r="H83" t="s">
        <v>153</v>
      </c>
    </row>
    <row r="84" spans="6:8" x14ac:dyDescent="0.25">
      <c r="F84">
        <v>77</v>
      </c>
      <c r="G84">
        <v>60</v>
      </c>
      <c r="H84" t="s">
        <v>154</v>
      </c>
    </row>
    <row r="85" spans="6:8" x14ac:dyDescent="0.25">
      <c r="F85">
        <v>78</v>
      </c>
      <c r="G85">
        <v>57</v>
      </c>
      <c r="H85" t="s">
        <v>154</v>
      </c>
    </row>
    <row r="86" spans="6:8" x14ac:dyDescent="0.25">
      <c r="F86">
        <v>79</v>
      </c>
      <c r="G86">
        <v>38</v>
      </c>
      <c r="H86" t="s">
        <v>153</v>
      </c>
    </row>
    <row r="87" spans="6:8" x14ac:dyDescent="0.25">
      <c r="F87">
        <v>80</v>
      </c>
      <c r="G87">
        <v>54</v>
      </c>
      <c r="H87" t="s">
        <v>153</v>
      </c>
    </row>
    <row r="88" spans="6:8" x14ac:dyDescent="0.25">
      <c r="F88">
        <v>81</v>
      </c>
      <c r="G88">
        <v>58</v>
      </c>
      <c r="H88" t="s">
        <v>154</v>
      </c>
    </row>
    <row r="89" spans="6:8" x14ac:dyDescent="0.25">
      <c r="F89">
        <v>82</v>
      </c>
      <c r="G89">
        <v>50</v>
      </c>
      <c r="H89" t="s">
        <v>154</v>
      </c>
    </row>
    <row r="90" spans="6:8" x14ac:dyDescent="0.25">
      <c r="F90">
        <v>83</v>
      </c>
      <c r="G90">
        <v>52</v>
      </c>
      <c r="H90" t="s">
        <v>154</v>
      </c>
    </row>
    <row r="91" spans="6:8" x14ac:dyDescent="0.25">
      <c r="F91">
        <v>84</v>
      </c>
      <c r="G91">
        <v>37</v>
      </c>
      <c r="H91" t="s">
        <v>154</v>
      </c>
    </row>
    <row r="92" spans="6:8" x14ac:dyDescent="0.25">
      <c r="F92">
        <v>85</v>
      </c>
      <c r="G92">
        <v>57</v>
      </c>
      <c r="H92" t="s">
        <v>154</v>
      </c>
    </row>
    <row r="93" spans="6:8" x14ac:dyDescent="0.25">
      <c r="F93">
        <v>86</v>
      </c>
      <c r="G93">
        <v>20</v>
      </c>
      <c r="H93" t="s">
        <v>153</v>
      </c>
    </row>
    <row r="94" spans="6:8" x14ac:dyDescent="0.25">
      <c r="F94">
        <v>87</v>
      </c>
      <c r="G94">
        <v>30</v>
      </c>
      <c r="H94" t="s">
        <v>154</v>
      </c>
    </row>
    <row r="95" spans="6:8" x14ac:dyDescent="0.25">
      <c r="F95">
        <v>88</v>
      </c>
      <c r="G95">
        <v>35</v>
      </c>
      <c r="H95" t="s">
        <v>153</v>
      </c>
    </row>
    <row r="96" spans="6:8" x14ac:dyDescent="0.25">
      <c r="F96">
        <v>89</v>
      </c>
      <c r="G96">
        <v>44</v>
      </c>
      <c r="H96" t="s">
        <v>153</v>
      </c>
    </row>
    <row r="97" spans="6:8" x14ac:dyDescent="0.25">
      <c r="F97">
        <v>90</v>
      </c>
      <c r="G97">
        <v>54</v>
      </c>
      <c r="H97" t="s">
        <v>154</v>
      </c>
    </row>
    <row r="98" spans="6:8" x14ac:dyDescent="0.25">
      <c r="F98">
        <v>91</v>
      </c>
      <c r="G98">
        <v>65</v>
      </c>
      <c r="H98" t="s">
        <v>154</v>
      </c>
    </row>
    <row r="99" spans="6:8" x14ac:dyDescent="0.25">
      <c r="F99">
        <v>92</v>
      </c>
      <c r="G99">
        <v>37</v>
      </c>
      <c r="H99" t="s">
        <v>153</v>
      </c>
    </row>
    <row r="100" spans="6:8" x14ac:dyDescent="0.25">
      <c r="F100">
        <v>93</v>
      </c>
      <c r="G100">
        <v>50</v>
      </c>
      <c r="H100" t="s">
        <v>153</v>
      </c>
    </row>
    <row r="101" spans="6:8" x14ac:dyDescent="0.25">
      <c r="F101">
        <v>94</v>
      </c>
      <c r="G101">
        <v>51</v>
      </c>
      <c r="H101" t="s">
        <v>153</v>
      </c>
    </row>
    <row r="102" spans="6:8" x14ac:dyDescent="0.25">
      <c r="F102">
        <v>95</v>
      </c>
      <c r="G102">
        <v>38</v>
      </c>
      <c r="H102" t="s">
        <v>153</v>
      </c>
    </row>
    <row r="103" spans="6:8" x14ac:dyDescent="0.25">
      <c r="F103">
        <v>96</v>
      </c>
      <c r="G103">
        <v>51</v>
      </c>
      <c r="H103" t="s">
        <v>154</v>
      </c>
    </row>
    <row r="104" spans="6:8" x14ac:dyDescent="0.25">
      <c r="F104">
        <v>97</v>
      </c>
      <c r="G104">
        <v>26</v>
      </c>
      <c r="H104" t="s">
        <v>154</v>
      </c>
    </row>
    <row r="105" spans="6:8" x14ac:dyDescent="0.25">
      <c r="F105">
        <v>98</v>
      </c>
      <c r="G105">
        <v>58</v>
      </c>
      <c r="H105" t="s">
        <v>154</v>
      </c>
    </row>
    <row r="106" spans="6:8" x14ac:dyDescent="0.25">
      <c r="F106">
        <v>99</v>
      </c>
      <c r="G106">
        <v>43</v>
      </c>
      <c r="H106" t="s">
        <v>154</v>
      </c>
    </row>
    <row r="107" spans="6:8" x14ac:dyDescent="0.25">
      <c r="F107">
        <v>100</v>
      </c>
      <c r="G107">
        <v>54</v>
      </c>
      <c r="H107" t="s">
        <v>154</v>
      </c>
    </row>
    <row r="108" spans="6:8" x14ac:dyDescent="0.25">
      <c r="F108">
        <v>101</v>
      </c>
      <c r="G108">
        <v>60</v>
      </c>
      <c r="H108" t="s">
        <v>154</v>
      </c>
    </row>
    <row r="109" spans="6:8" x14ac:dyDescent="0.25">
      <c r="F109">
        <v>102</v>
      </c>
      <c r="G109">
        <v>37</v>
      </c>
      <c r="H109" t="s">
        <v>153</v>
      </c>
    </row>
    <row r="110" spans="6:8" x14ac:dyDescent="0.25">
      <c r="F110">
        <v>103</v>
      </c>
      <c r="G110">
        <v>35</v>
      </c>
      <c r="H110" t="s">
        <v>153</v>
      </c>
    </row>
    <row r="111" spans="6:8" x14ac:dyDescent="0.25">
      <c r="F111">
        <v>104</v>
      </c>
      <c r="G111">
        <v>58</v>
      </c>
      <c r="H111" t="s">
        <v>154</v>
      </c>
    </row>
    <row r="112" spans="6:8" x14ac:dyDescent="0.25">
      <c r="F112">
        <v>105</v>
      </c>
      <c r="G112">
        <v>52</v>
      </c>
      <c r="H112" t="s">
        <v>153</v>
      </c>
    </row>
    <row r="113" spans="6:8" x14ac:dyDescent="0.25">
      <c r="F113">
        <v>106</v>
      </c>
      <c r="G113">
        <v>60</v>
      </c>
      <c r="H113" t="s">
        <v>154</v>
      </c>
    </row>
    <row r="114" spans="6:8" x14ac:dyDescent="0.25">
      <c r="F114">
        <v>107</v>
      </c>
      <c r="G114">
        <v>48</v>
      </c>
      <c r="H114" t="s">
        <v>153</v>
      </c>
    </row>
    <row r="115" spans="6:8" x14ac:dyDescent="0.25">
      <c r="F115">
        <v>108</v>
      </c>
      <c r="G115">
        <v>25</v>
      </c>
      <c r="H115" t="s">
        <v>153</v>
      </c>
    </row>
    <row r="116" spans="6:8" x14ac:dyDescent="0.25">
      <c r="F116">
        <v>109</v>
      </c>
      <c r="G116">
        <v>41</v>
      </c>
      <c r="H116" t="s">
        <v>153</v>
      </c>
    </row>
    <row r="117" spans="6:8" x14ac:dyDescent="0.25">
      <c r="F117">
        <v>110</v>
      </c>
      <c r="G117">
        <v>54</v>
      </c>
      <c r="H117" t="s">
        <v>153</v>
      </c>
    </row>
    <row r="118" spans="6:8" x14ac:dyDescent="0.25">
      <c r="F118">
        <v>111</v>
      </c>
      <c r="G118">
        <v>57</v>
      </c>
      <c r="H118" t="s">
        <v>154</v>
      </c>
    </row>
    <row r="119" spans="6:8" x14ac:dyDescent="0.25">
      <c r="F119">
        <v>112</v>
      </c>
      <c r="G119">
        <v>52</v>
      </c>
      <c r="H119" t="s">
        <v>154</v>
      </c>
    </row>
    <row r="120" spans="6:8" x14ac:dyDescent="0.25">
      <c r="F120">
        <v>113</v>
      </c>
      <c r="G120">
        <v>56</v>
      </c>
      <c r="H120" t="s">
        <v>154</v>
      </c>
    </row>
    <row r="121" spans="6:8" x14ac:dyDescent="0.25">
      <c r="F121">
        <v>114</v>
      </c>
      <c r="G121">
        <v>40</v>
      </c>
      <c r="H121" t="s">
        <v>153</v>
      </c>
    </row>
    <row r="122" spans="6:8" x14ac:dyDescent="0.25">
      <c r="F122">
        <v>115</v>
      </c>
      <c r="G122">
        <v>51</v>
      </c>
      <c r="H122" t="s">
        <v>153</v>
      </c>
    </row>
    <row r="123" spans="6:8" x14ac:dyDescent="0.25">
      <c r="F123">
        <v>116</v>
      </c>
      <c r="G123">
        <v>65</v>
      </c>
      <c r="H123" t="s">
        <v>154</v>
      </c>
    </row>
    <row r="124" spans="6:8" x14ac:dyDescent="0.25">
      <c r="F124">
        <v>117</v>
      </c>
      <c r="G124">
        <v>60</v>
      </c>
      <c r="H124" t="s">
        <v>153</v>
      </c>
    </row>
    <row r="125" spans="6:8" x14ac:dyDescent="0.25">
      <c r="F125">
        <v>118</v>
      </c>
      <c r="G125">
        <v>56</v>
      </c>
      <c r="H125" t="s">
        <v>154</v>
      </c>
    </row>
    <row r="126" spans="6:8" x14ac:dyDescent="0.25">
      <c r="F126">
        <v>119</v>
      </c>
      <c r="G126">
        <v>59</v>
      </c>
      <c r="H126" t="s">
        <v>154</v>
      </c>
    </row>
    <row r="127" spans="6:8" x14ac:dyDescent="0.25">
      <c r="F127">
        <v>120</v>
      </c>
      <c r="G127">
        <v>54</v>
      </c>
      <c r="H127" t="s">
        <v>154</v>
      </c>
    </row>
    <row r="128" spans="6:8" x14ac:dyDescent="0.25">
      <c r="F128">
        <v>121</v>
      </c>
      <c r="G128">
        <v>58</v>
      </c>
      <c r="H128" t="s">
        <v>154</v>
      </c>
    </row>
    <row r="129" spans="6:8" x14ac:dyDescent="0.25">
      <c r="F129">
        <v>122</v>
      </c>
      <c r="G129">
        <v>56</v>
      </c>
      <c r="H129" t="s">
        <v>154</v>
      </c>
    </row>
    <row r="130" spans="6:8" x14ac:dyDescent="0.25">
      <c r="F130">
        <v>123</v>
      </c>
      <c r="G130">
        <v>20</v>
      </c>
      <c r="H130" t="s">
        <v>153</v>
      </c>
    </row>
    <row r="131" spans="6:8" x14ac:dyDescent="0.25">
      <c r="F131">
        <v>124</v>
      </c>
      <c r="G131">
        <v>35</v>
      </c>
      <c r="H131" t="s">
        <v>153</v>
      </c>
    </row>
    <row r="132" spans="6:8" x14ac:dyDescent="0.25">
      <c r="F132">
        <v>125</v>
      </c>
      <c r="G132">
        <v>59</v>
      </c>
      <c r="H132" t="s">
        <v>154</v>
      </c>
    </row>
    <row r="133" spans="6:8" x14ac:dyDescent="0.25">
      <c r="F133">
        <v>126</v>
      </c>
      <c r="G133">
        <v>64</v>
      </c>
      <c r="H133" t="s">
        <v>153</v>
      </c>
    </row>
    <row r="134" spans="6:8" x14ac:dyDescent="0.25">
      <c r="F134">
        <v>127</v>
      </c>
      <c r="G134">
        <v>59</v>
      </c>
      <c r="H134" t="s">
        <v>154</v>
      </c>
    </row>
    <row r="135" spans="6:8" x14ac:dyDescent="0.25">
      <c r="F135">
        <v>128</v>
      </c>
      <c r="G135">
        <v>63</v>
      </c>
      <c r="H135" t="s">
        <v>154</v>
      </c>
    </row>
    <row r="136" spans="6:8" x14ac:dyDescent="0.25">
      <c r="F136">
        <v>129</v>
      </c>
      <c r="G136">
        <v>20</v>
      </c>
      <c r="H136" t="s">
        <v>154</v>
      </c>
    </row>
    <row r="137" spans="6:8" x14ac:dyDescent="0.25">
      <c r="F137">
        <v>130</v>
      </c>
      <c r="G137">
        <v>60</v>
      </c>
      <c r="H137" t="s">
        <v>154</v>
      </c>
    </row>
    <row r="138" spans="6:8" x14ac:dyDescent="0.25">
      <c r="F138">
        <v>131</v>
      </c>
      <c r="G138">
        <v>56</v>
      </c>
      <c r="H138" t="s">
        <v>154</v>
      </c>
    </row>
    <row r="139" spans="6:8" x14ac:dyDescent="0.25">
      <c r="F139">
        <v>132</v>
      </c>
      <c r="G139">
        <v>58</v>
      </c>
      <c r="H139" t="s">
        <v>154</v>
      </c>
    </row>
    <row r="140" spans="6:8" x14ac:dyDescent="0.25">
      <c r="F140">
        <v>133</v>
      </c>
      <c r="G140">
        <v>56</v>
      </c>
      <c r="H140" t="s">
        <v>154</v>
      </c>
    </row>
    <row r="141" spans="6:8" x14ac:dyDescent="0.25">
      <c r="F141">
        <v>134</v>
      </c>
      <c r="G141">
        <v>43</v>
      </c>
      <c r="H141" t="s">
        <v>154</v>
      </c>
    </row>
    <row r="142" spans="6:8" x14ac:dyDescent="0.25">
      <c r="F142">
        <v>135</v>
      </c>
      <c r="G142">
        <v>50</v>
      </c>
      <c r="H142" t="s">
        <v>154</v>
      </c>
    </row>
    <row r="143" spans="6:8" x14ac:dyDescent="0.25">
      <c r="F143">
        <v>136</v>
      </c>
      <c r="G143">
        <v>51</v>
      </c>
      <c r="H143" t="s">
        <v>153</v>
      </c>
    </row>
    <row r="144" spans="6:8" x14ac:dyDescent="0.25">
      <c r="F144">
        <v>137</v>
      </c>
      <c r="G144">
        <v>40</v>
      </c>
      <c r="H144" t="s">
        <v>153</v>
      </c>
    </row>
    <row r="145" spans="6:8" x14ac:dyDescent="0.25">
      <c r="F145">
        <v>138</v>
      </c>
      <c r="G145">
        <v>28</v>
      </c>
      <c r="H145" t="s">
        <v>153</v>
      </c>
    </row>
    <row r="146" spans="6:8" x14ac:dyDescent="0.25">
      <c r="F146">
        <v>139</v>
      </c>
      <c r="G146">
        <v>55</v>
      </c>
      <c r="H146" t="s">
        <v>154</v>
      </c>
    </row>
    <row r="147" spans="6:8" x14ac:dyDescent="0.25">
      <c r="F147">
        <v>140</v>
      </c>
      <c r="G147">
        <v>49</v>
      </c>
      <c r="H147" t="s">
        <v>154</v>
      </c>
    </row>
    <row r="148" spans="6:8" x14ac:dyDescent="0.25">
      <c r="F148">
        <v>141</v>
      </c>
      <c r="G148">
        <v>38</v>
      </c>
      <c r="H148" t="s">
        <v>153</v>
      </c>
    </row>
    <row r="149" spans="6:8" x14ac:dyDescent="0.25">
      <c r="F149">
        <v>142</v>
      </c>
      <c r="G149">
        <v>22</v>
      </c>
      <c r="H149" t="s">
        <v>153</v>
      </c>
    </row>
    <row r="150" spans="6:8" x14ac:dyDescent="0.25">
      <c r="F150">
        <v>143</v>
      </c>
      <c r="G150">
        <v>35</v>
      </c>
      <c r="H150" t="s">
        <v>153</v>
      </c>
    </row>
    <row r="151" spans="6:8" x14ac:dyDescent="0.25">
      <c r="F151">
        <v>144</v>
      </c>
      <c r="G151">
        <v>35</v>
      </c>
      <c r="H151" t="s">
        <v>154</v>
      </c>
    </row>
    <row r="152" spans="6:8" x14ac:dyDescent="0.25">
      <c r="F152">
        <v>145</v>
      </c>
      <c r="G152">
        <v>55</v>
      </c>
      <c r="H152" t="s">
        <v>154</v>
      </c>
    </row>
    <row r="153" spans="6:8" x14ac:dyDescent="0.25">
      <c r="F153">
        <v>146</v>
      </c>
      <c r="G153">
        <v>56</v>
      </c>
      <c r="H153" t="s">
        <v>154</v>
      </c>
    </row>
    <row r="154" spans="6:8" x14ac:dyDescent="0.25">
      <c r="F154">
        <v>147</v>
      </c>
      <c r="G154">
        <v>47</v>
      </c>
      <c r="H154" t="s">
        <v>153</v>
      </c>
    </row>
    <row r="155" spans="6:8" x14ac:dyDescent="0.25">
      <c r="F155">
        <v>148</v>
      </c>
      <c r="G155">
        <v>70</v>
      </c>
      <c r="H155" t="s">
        <v>153</v>
      </c>
    </row>
    <row r="156" spans="6:8" x14ac:dyDescent="0.25">
      <c r="F156">
        <v>149</v>
      </c>
      <c r="G156">
        <v>62</v>
      </c>
      <c r="H156" t="s">
        <v>154</v>
      </c>
    </row>
    <row r="157" spans="6:8" x14ac:dyDescent="0.25">
      <c r="F157">
        <v>150</v>
      </c>
      <c r="G157">
        <v>54</v>
      </c>
      <c r="H157" t="s">
        <v>154</v>
      </c>
    </row>
    <row r="158" spans="6:8" x14ac:dyDescent="0.25">
      <c r="F158">
        <v>151</v>
      </c>
      <c r="G158">
        <v>51</v>
      </c>
      <c r="H158" t="s">
        <v>153</v>
      </c>
    </row>
    <row r="159" spans="6:8" x14ac:dyDescent="0.25">
      <c r="F159">
        <v>152</v>
      </c>
      <c r="G159">
        <v>60</v>
      </c>
      <c r="H159" t="s">
        <v>154</v>
      </c>
    </row>
    <row r="160" spans="6:8" x14ac:dyDescent="0.25">
      <c r="F160">
        <v>153</v>
      </c>
      <c r="G160">
        <v>50</v>
      </c>
      <c r="H160" t="s">
        <v>153</v>
      </c>
    </row>
    <row r="161" spans="6:8" x14ac:dyDescent="0.25">
      <c r="F161">
        <v>154</v>
      </c>
      <c r="G161">
        <v>35</v>
      </c>
      <c r="H161" t="s">
        <v>153</v>
      </c>
    </row>
    <row r="162" spans="6:8" x14ac:dyDescent="0.25">
      <c r="F162">
        <v>155</v>
      </c>
      <c r="G162">
        <v>44</v>
      </c>
      <c r="H162" t="s">
        <v>153</v>
      </c>
    </row>
    <row r="163" spans="6:8" x14ac:dyDescent="0.25">
      <c r="F163">
        <v>156</v>
      </c>
      <c r="G163">
        <v>59</v>
      </c>
      <c r="H163" t="s">
        <v>153</v>
      </c>
    </row>
    <row r="164" spans="6:8" x14ac:dyDescent="0.25">
      <c r="F164">
        <v>157</v>
      </c>
      <c r="G164">
        <v>27</v>
      </c>
      <c r="H164" t="s">
        <v>153</v>
      </c>
    </row>
    <row r="165" spans="6:8" x14ac:dyDescent="0.25">
      <c r="F165">
        <v>158</v>
      </c>
      <c r="G165">
        <v>50</v>
      </c>
      <c r="H165" t="s">
        <v>154</v>
      </c>
    </row>
    <row r="166" spans="6:8" x14ac:dyDescent="0.25">
      <c r="F166">
        <v>159</v>
      </c>
      <c r="G166">
        <v>70</v>
      </c>
      <c r="H166" t="s">
        <v>154</v>
      </c>
    </row>
    <row r="167" spans="6:8" x14ac:dyDescent="0.25">
      <c r="F167">
        <v>160</v>
      </c>
      <c r="G167">
        <v>52</v>
      </c>
      <c r="H167" t="s">
        <v>153</v>
      </c>
    </row>
    <row r="168" spans="6:8" x14ac:dyDescent="0.25">
      <c r="F168">
        <v>161</v>
      </c>
      <c r="G168">
        <v>59</v>
      </c>
      <c r="H168" t="s">
        <v>154</v>
      </c>
    </row>
    <row r="169" spans="6:8" x14ac:dyDescent="0.25">
      <c r="F169">
        <v>162</v>
      </c>
      <c r="G169">
        <v>36</v>
      </c>
      <c r="H169" t="s">
        <v>153</v>
      </c>
    </row>
    <row r="170" spans="6:8" x14ac:dyDescent="0.25">
      <c r="F170">
        <v>163</v>
      </c>
      <c r="G170">
        <v>58</v>
      </c>
      <c r="H170" t="s">
        <v>154</v>
      </c>
    </row>
    <row r="171" spans="6:8" x14ac:dyDescent="0.25">
      <c r="F171">
        <v>164</v>
      </c>
      <c r="G171">
        <v>45</v>
      </c>
      <c r="H171" t="s">
        <v>154</v>
      </c>
    </row>
    <row r="172" spans="6:8" x14ac:dyDescent="0.25">
      <c r="F172">
        <v>165</v>
      </c>
      <c r="G172">
        <v>58</v>
      </c>
      <c r="H172" t="s">
        <v>154</v>
      </c>
    </row>
    <row r="173" spans="6:8" x14ac:dyDescent="0.25">
      <c r="F173">
        <v>166</v>
      </c>
      <c r="G173">
        <v>65</v>
      </c>
      <c r="H173" t="s">
        <v>154</v>
      </c>
    </row>
    <row r="174" spans="6:8" x14ac:dyDescent="0.25">
      <c r="F174">
        <v>167</v>
      </c>
      <c r="G174">
        <v>57</v>
      </c>
      <c r="H174" t="s">
        <v>153</v>
      </c>
    </row>
    <row r="175" spans="6:8" x14ac:dyDescent="0.25">
      <c r="F175">
        <v>168</v>
      </c>
      <c r="G175">
        <v>38</v>
      </c>
      <c r="H175" t="s">
        <v>153</v>
      </c>
    </row>
    <row r="176" spans="6:8" x14ac:dyDescent="0.25">
      <c r="F176">
        <v>169</v>
      </c>
      <c r="G176">
        <v>65</v>
      </c>
      <c r="H176" t="s">
        <v>154</v>
      </c>
    </row>
    <row r="177" spans="6:8" x14ac:dyDescent="0.25">
      <c r="F177">
        <v>170</v>
      </c>
      <c r="G177">
        <v>57</v>
      </c>
      <c r="H177" t="s">
        <v>154</v>
      </c>
    </row>
    <row r="178" spans="6:8" x14ac:dyDescent="0.25">
      <c r="F178">
        <v>171</v>
      </c>
      <c r="G178">
        <v>56</v>
      </c>
      <c r="H178" t="s">
        <v>154</v>
      </c>
    </row>
    <row r="179" spans="6:8" x14ac:dyDescent="0.25">
      <c r="F179">
        <v>172</v>
      </c>
      <c r="G179">
        <v>56</v>
      </c>
      <c r="H179" t="s">
        <v>154</v>
      </c>
    </row>
    <row r="180" spans="6:8" x14ac:dyDescent="0.25">
      <c r="F180">
        <v>173</v>
      </c>
      <c r="G180">
        <v>61</v>
      </c>
      <c r="H180" t="s">
        <v>154</v>
      </c>
    </row>
    <row r="181" spans="6:8" x14ac:dyDescent="0.25">
      <c r="F181">
        <v>174</v>
      </c>
      <c r="G181">
        <v>40</v>
      </c>
      <c r="H181" t="s">
        <v>153</v>
      </c>
    </row>
    <row r="182" spans="6:8" x14ac:dyDescent="0.25">
      <c r="F182">
        <v>175</v>
      </c>
      <c r="G182">
        <v>53</v>
      </c>
      <c r="H182" t="s">
        <v>154</v>
      </c>
    </row>
    <row r="183" spans="6:8" x14ac:dyDescent="0.25">
      <c r="F183">
        <v>176</v>
      </c>
      <c r="G183">
        <v>58</v>
      </c>
      <c r="H183" t="s">
        <v>154</v>
      </c>
    </row>
    <row r="184" spans="6:8" x14ac:dyDescent="0.25">
      <c r="F184">
        <v>177</v>
      </c>
      <c r="G184">
        <v>36</v>
      </c>
      <c r="H184" t="s">
        <v>154</v>
      </c>
    </row>
    <row r="185" spans="6:8" x14ac:dyDescent="0.25">
      <c r="F185">
        <v>178</v>
      </c>
      <c r="G185">
        <v>58</v>
      </c>
      <c r="H185" t="s">
        <v>154</v>
      </c>
    </row>
    <row r="186" spans="6:8" x14ac:dyDescent="0.25">
      <c r="F186">
        <v>179</v>
      </c>
      <c r="G186">
        <v>58</v>
      </c>
      <c r="H186" t="s">
        <v>154</v>
      </c>
    </row>
    <row r="187" spans="6:8" x14ac:dyDescent="0.25">
      <c r="F187">
        <v>180</v>
      </c>
      <c r="G187">
        <v>60</v>
      </c>
      <c r="H187" t="s">
        <v>154</v>
      </c>
    </row>
    <row r="188" spans="6:8" x14ac:dyDescent="0.25">
      <c r="F188">
        <v>181</v>
      </c>
      <c r="G188">
        <v>30</v>
      </c>
      <c r="H188" t="s">
        <v>153</v>
      </c>
    </row>
    <row r="189" spans="6:8" x14ac:dyDescent="0.25">
      <c r="F189">
        <v>182</v>
      </c>
      <c r="G189">
        <v>55</v>
      </c>
      <c r="H189" t="s">
        <v>154</v>
      </c>
    </row>
    <row r="190" spans="6:8" x14ac:dyDescent="0.25">
      <c r="F190">
        <v>183</v>
      </c>
      <c r="G190">
        <v>22</v>
      </c>
      <c r="H190" t="s">
        <v>153</v>
      </c>
    </row>
    <row r="191" spans="6:8" x14ac:dyDescent="0.25">
      <c r="F191">
        <v>184</v>
      </c>
      <c r="G191">
        <v>62</v>
      </c>
      <c r="H191" t="s">
        <v>154</v>
      </c>
    </row>
    <row r="192" spans="6:8" x14ac:dyDescent="0.25">
      <c r="F192">
        <v>185</v>
      </c>
      <c r="G192">
        <v>55</v>
      </c>
      <c r="H192" t="s">
        <v>154</v>
      </c>
    </row>
    <row r="193" spans="6:8" x14ac:dyDescent="0.25">
      <c r="F193">
        <v>186</v>
      </c>
      <c r="G193">
        <v>65</v>
      </c>
      <c r="H193" t="s">
        <v>153</v>
      </c>
    </row>
    <row r="194" spans="6:8" x14ac:dyDescent="0.25">
      <c r="F194">
        <v>187</v>
      </c>
      <c r="G194">
        <v>34</v>
      </c>
      <c r="H194" t="s">
        <v>153</v>
      </c>
    </row>
    <row r="195" spans="6:8" x14ac:dyDescent="0.25">
      <c r="F195">
        <v>188</v>
      </c>
      <c r="G195">
        <v>58</v>
      </c>
      <c r="H195" t="s">
        <v>154</v>
      </c>
    </row>
    <row r="196" spans="6:8" x14ac:dyDescent="0.25">
      <c r="F196">
        <v>189</v>
      </c>
      <c r="G196">
        <v>54</v>
      </c>
      <c r="H196" t="s">
        <v>154</v>
      </c>
    </row>
    <row r="197" spans="6:8" x14ac:dyDescent="0.25">
      <c r="F197">
        <v>190</v>
      </c>
      <c r="G197">
        <v>24</v>
      </c>
      <c r="H197" t="s">
        <v>154</v>
      </c>
    </row>
    <row r="198" spans="6:8" x14ac:dyDescent="0.25">
      <c r="F198">
        <v>191</v>
      </c>
      <c r="G198">
        <v>58</v>
      </c>
      <c r="H198" t="s">
        <v>153</v>
      </c>
    </row>
    <row r="199" spans="6:8" x14ac:dyDescent="0.25">
      <c r="F199">
        <v>192</v>
      </c>
      <c r="G199">
        <v>60</v>
      </c>
      <c r="H199" t="s">
        <v>154</v>
      </c>
    </row>
    <row r="200" spans="6:8" x14ac:dyDescent="0.25">
      <c r="F200">
        <v>193</v>
      </c>
      <c r="G200">
        <v>32</v>
      </c>
      <c r="H200" t="s">
        <v>154</v>
      </c>
    </row>
    <row r="201" spans="6:8" x14ac:dyDescent="0.25">
      <c r="F201">
        <v>194</v>
      </c>
      <c r="G201">
        <v>55</v>
      </c>
      <c r="H201" t="s">
        <v>154</v>
      </c>
    </row>
    <row r="202" spans="6:8" x14ac:dyDescent="0.25">
      <c r="F202">
        <v>195</v>
      </c>
      <c r="G202">
        <v>31</v>
      </c>
      <c r="H202" t="s">
        <v>153</v>
      </c>
    </row>
    <row r="203" spans="6:8" x14ac:dyDescent="0.25">
      <c r="F203">
        <v>196</v>
      </c>
      <c r="G203">
        <v>43</v>
      </c>
      <c r="H203" t="s">
        <v>154</v>
      </c>
    </row>
    <row r="204" spans="6:8" x14ac:dyDescent="0.25">
      <c r="F204">
        <v>197</v>
      </c>
      <c r="G204">
        <v>55</v>
      </c>
      <c r="H204" t="s">
        <v>153</v>
      </c>
    </row>
    <row r="205" spans="6:8" x14ac:dyDescent="0.25">
      <c r="F205">
        <v>198</v>
      </c>
      <c r="G205">
        <v>60</v>
      </c>
      <c r="H205" t="s">
        <v>154</v>
      </c>
    </row>
    <row r="206" spans="6:8" x14ac:dyDescent="0.25">
      <c r="F206">
        <v>199</v>
      </c>
      <c r="G206">
        <v>39</v>
      </c>
      <c r="H206" t="s">
        <v>154</v>
      </c>
    </row>
    <row r="207" spans="6:8" x14ac:dyDescent="0.25">
      <c r="F207">
        <v>200</v>
      </c>
      <c r="G207">
        <v>66</v>
      </c>
      <c r="H207" t="s">
        <v>154</v>
      </c>
    </row>
    <row r="208" spans="6:8" x14ac:dyDescent="0.25">
      <c r="F208">
        <v>201</v>
      </c>
      <c r="G208">
        <v>24</v>
      </c>
      <c r="H208" t="s">
        <v>153</v>
      </c>
    </row>
    <row r="209" spans="6:8" x14ac:dyDescent="0.25">
      <c r="F209">
        <v>202</v>
      </c>
      <c r="G209">
        <v>38</v>
      </c>
      <c r="H209" t="s">
        <v>153</v>
      </c>
    </row>
    <row r="210" spans="6:8" x14ac:dyDescent="0.25">
      <c r="F210">
        <v>203</v>
      </c>
      <c r="G210">
        <v>51</v>
      </c>
      <c r="H210" t="s">
        <v>154</v>
      </c>
    </row>
    <row r="211" spans="6:8" x14ac:dyDescent="0.25">
      <c r="F211">
        <v>204</v>
      </c>
      <c r="G211">
        <v>27</v>
      </c>
      <c r="H211" t="s">
        <v>154</v>
      </c>
    </row>
    <row r="212" spans="6:8" x14ac:dyDescent="0.25">
      <c r="F212">
        <v>205</v>
      </c>
      <c r="G212">
        <v>40</v>
      </c>
      <c r="H212" t="s">
        <v>153</v>
      </c>
    </row>
    <row r="213" spans="6:8" x14ac:dyDescent="0.25">
      <c r="F213">
        <v>206</v>
      </c>
      <c r="G213">
        <v>29</v>
      </c>
      <c r="H213" t="s">
        <v>154</v>
      </c>
    </row>
    <row r="214" spans="6:8" x14ac:dyDescent="0.25">
      <c r="F214">
        <v>207</v>
      </c>
      <c r="G214">
        <v>56</v>
      </c>
      <c r="H214" t="s">
        <v>154</v>
      </c>
    </row>
    <row r="215" spans="6:8" x14ac:dyDescent="0.25">
      <c r="F215">
        <v>208</v>
      </c>
      <c r="G215">
        <v>65</v>
      </c>
      <c r="H215" t="s">
        <v>154</v>
      </c>
    </row>
    <row r="216" spans="6:8" x14ac:dyDescent="0.25">
      <c r="F216">
        <v>209</v>
      </c>
      <c r="G216">
        <v>40</v>
      </c>
      <c r="H216" t="s">
        <v>153</v>
      </c>
    </row>
    <row r="217" spans="6:8" x14ac:dyDescent="0.25">
      <c r="F217">
        <v>210</v>
      </c>
      <c r="G217">
        <v>55</v>
      </c>
      <c r="H217" t="s">
        <v>154</v>
      </c>
    </row>
    <row r="218" spans="6:8" x14ac:dyDescent="0.25">
      <c r="F218">
        <v>211</v>
      </c>
      <c r="G218">
        <v>45</v>
      </c>
      <c r="H218" t="s">
        <v>154</v>
      </c>
    </row>
    <row r="219" spans="6:8" x14ac:dyDescent="0.25">
      <c r="F219">
        <v>212</v>
      </c>
      <c r="G219">
        <v>55</v>
      </c>
      <c r="H219" t="s">
        <v>154</v>
      </c>
    </row>
    <row r="220" spans="6:8" x14ac:dyDescent="0.25">
      <c r="F220">
        <v>213</v>
      </c>
      <c r="G220">
        <v>50</v>
      </c>
      <c r="H220" t="s">
        <v>153</v>
      </c>
    </row>
    <row r="221" spans="6:8" x14ac:dyDescent="0.25">
      <c r="F221">
        <v>214</v>
      </c>
      <c r="G221">
        <v>53</v>
      </c>
      <c r="H221" t="s">
        <v>154</v>
      </c>
    </row>
    <row r="222" spans="6:8" x14ac:dyDescent="0.25">
      <c r="F222">
        <v>215</v>
      </c>
      <c r="G222">
        <v>55</v>
      </c>
      <c r="H222" t="s">
        <v>154</v>
      </c>
    </row>
    <row r="223" spans="6:8" x14ac:dyDescent="0.25">
      <c r="F223">
        <v>216</v>
      </c>
      <c r="G223">
        <v>54</v>
      </c>
      <c r="H223" t="s">
        <v>154</v>
      </c>
    </row>
    <row r="224" spans="6:8" x14ac:dyDescent="0.25">
      <c r="F224">
        <v>217</v>
      </c>
      <c r="G224">
        <v>60</v>
      </c>
      <c r="H224" t="s">
        <v>154</v>
      </c>
    </row>
    <row r="225" spans="6:8" x14ac:dyDescent="0.25">
      <c r="F225">
        <v>218</v>
      </c>
      <c r="G225">
        <v>47</v>
      </c>
      <c r="H225" t="s">
        <v>154</v>
      </c>
    </row>
    <row r="226" spans="6:8" x14ac:dyDescent="0.25">
      <c r="F226">
        <v>219</v>
      </c>
      <c r="G226">
        <v>57</v>
      </c>
      <c r="H226" t="s">
        <v>153</v>
      </c>
    </row>
    <row r="227" spans="6:8" x14ac:dyDescent="0.25">
      <c r="F227">
        <v>220</v>
      </c>
      <c r="G227">
        <v>25</v>
      </c>
      <c r="H227" t="s">
        <v>153</v>
      </c>
    </row>
    <row r="228" spans="6:8" x14ac:dyDescent="0.25">
      <c r="F228">
        <v>221</v>
      </c>
      <c r="G228">
        <v>35</v>
      </c>
      <c r="H228" t="s">
        <v>153</v>
      </c>
    </row>
    <row r="229" spans="6:8" x14ac:dyDescent="0.25">
      <c r="F229">
        <v>222</v>
      </c>
      <c r="G229">
        <v>27</v>
      </c>
      <c r="H229" t="s">
        <v>153</v>
      </c>
    </row>
    <row r="230" spans="6:8" x14ac:dyDescent="0.25">
      <c r="F230">
        <v>223</v>
      </c>
      <c r="G230">
        <v>59</v>
      </c>
      <c r="H230" t="s">
        <v>153</v>
      </c>
    </row>
    <row r="231" spans="6:8" x14ac:dyDescent="0.25">
      <c r="F231">
        <v>224</v>
      </c>
      <c r="G231">
        <v>53</v>
      </c>
      <c r="H231" t="s">
        <v>154</v>
      </c>
    </row>
    <row r="232" spans="6:8" x14ac:dyDescent="0.25">
      <c r="F232">
        <v>225</v>
      </c>
      <c r="G232">
        <v>55</v>
      </c>
      <c r="H232" t="s">
        <v>154</v>
      </c>
    </row>
    <row r="233" spans="6:8" x14ac:dyDescent="0.25">
      <c r="F233">
        <v>226</v>
      </c>
      <c r="G233">
        <v>52</v>
      </c>
      <c r="H233" t="s">
        <v>153</v>
      </c>
    </row>
    <row r="234" spans="6:8" x14ac:dyDescent="0.25">
      <c r="F234">
        <v>227</v>
      </c>
      <c r="G234">
        <v>69</v>
      </c>
      <c r="H234" t="s">
        <v>154</v>
      </c>
    </row>
    <row r="235" spans="6:8" x14ac:dyDescent="0.25">
      <c r="F235">
        <v>228</v>
      </c>
      <c r="G235">
        <v>37</v>
      </c>
      <c r="H235" t="s">
        <v>153</v>
      </c>
    </row>
    <row r="236" spans="6:8" x14ac:dyDescent="0.25">
      <c r="F236">
        <v>229</v>
      </c>
      <c r="G236">
        <v>53</v>
      </c>
      <c r="H236" t="s">
        <v>154</v>
      </c>
    </row>
    <row r="237" spans="6:8" x14ac:dyDescent="0.25">
      <c r="F237">
        <v>230</v>
      </c>
      <c r="G237">
        <v>44</v>
      </c>
      <c r="H237" t="s">
        <v>154</v>
      </c>
    </row>
    <row r="238" spans="6:8" x14ac:dyDescent="0.25">
      <c r="F238">
        <v>231</v>
      </c>
      <c r="G238">
        <v>22</v>
      </c>
      <c r="H238" t="s">
        <v>154</v>
      </c>
    </row>
    <row r="239" spans="6:8" x14ac:dyDescent="0.25">
      <c r="F239">
        <v>232</v>
      </c>
      <c r="G239">
        <v>58</v>
      </c>
      <c r="H239" t="s">
        <v>153</v>
      </c>
    </row>
    <row r="240" spans="6:8" x14ac:dyDescent="0.25">
      <c r="F240">
        <v>233</v>
      </c>
      <c r="G240">
        <v>60</v>
      </c>
      <c r="H240" t="s">
        <v>154</v>
      </c>
    </row>
    <row r="241" spans="6:8" x14ac:dyDescent="0.25">
      <c r="F241">
        <v>234</v>
      </c>
      <c r="G241">
        <v>53</v>
      </c>
      <c r="H241" t="s">
        <v>153</v>
      </c>
    </row>
    <row r="242" spans="6:8" x14ac:dyDescent="0.25">
      <c r="F242">
        <v>235</v>
      </c>
      <c r="G242">
        <v>34</v>
      </c>
      <c r="H242" t="s">
        <v>153</v>
      </c>
    </row>
    <row r="243" spans="6:8" x14ac:dyDescent="0.25">
      <c r="F243">
        <v>236</v>
      </c>
      <c r="G243">
        <v>54</v>
      </c>
      <c r="H243" t="s">
        <v>154</v>
      </c>
    </row>
    <row r="244" spans="6:8" x14ac:dyDescent="0.25">
      <c r="F244">
        <v>237</v>
      </c>
      <c r="G244">
        <v>55</v>
      </c>
      <c r="H244" t="s">
        <v>154</v>
      </c>
    </row>
    <row r="245" spans="6:8" x14ac:dyDescent="0.25">
      <c r="F245">
        <v>238</v>
      </c>
      <c r="G245">
        <v>30</v>
      </c>
      <c r="H245" t="s">
        <v>154</v>
      </c>
    </row>
    <row r="246" spans="6:8" x14ac:dyDescent="0.25">
      <c r="F246">
        <v>239</v>
      </c>
      <c r="G246">
        <v>51</v>
      </c>
      <c r="H246" t="s">
        <v>154</v>
      </c>
    </row>
    <row r="247" spans="6:8" x14ac:dyDescent="0.25">
      <c r="F247">
        <v>240</v>
      </c>
      <c r="G247">
        <v>55</v>
      </c>
      <c r="H247" t="s">
        <v>154</v>
      </c>
    </row>
    <row r="248" spans="6:8" x14ac:dyDescent="0.25">
      <c r="F248">
        <v>241</v>
      </c>
      <c r="G248">
        <v>52</v>
      </c>
      <c r="H248" t="s">
        <v>153</v>
      </c>
    </row>
    <row r="249" spans="6:8" x14ac:dyDescent="0.25">
      <c r="F249">
        <v>242</v>
      </c>
      <c r="G249">
        <v>59</v>
      </c>
      <c r="H249" t="s">
        <v>153</v>
      </c>
    </row>
    <row r="250" spans="6:8" x14ac:dyDescent="0.25">
      <c r="F250">
        <v>243</v>
      </c>
      <c r="G250">
        <v>38</v>
      </c>
      <c r="H250" t="s">
        <v>153</v>
      </c>
    </row>
    <row r="251" spans="6:8" x14ac:dyDescent="0.25">
      <c r="F251">
        <v>244</v>
      </c>
      <c r="G251">
        <v>53</v>
      </c>
      <c r="H251" t="s">
        <v>153</v>
      </c>
    </row>
    <row r="252" spans="6:8" x14ac:dyDescent="0.25">
      <c r="F252">
        <v>245</v>
      </c>
      <c r="G252">
        <v>25</v>
      </c>
      <c r="H252" t="s">
        <v>153</v>
      </c>
    </row>
    <row r="253" spans="6:8" x14ac:dyDescent="0.25">
      <c r="F253">
        <v>246</v>
      </c>
      <c r="G253">
        <v>50</v>
      </c>
      <c r="H253" t="s">
        <v>154</v>
      </c>
    </row>
    <row r="254" spans="6:8" x14ac:dyDescent="0.25">
      <c r="F254">
        <v>247</v>
      </c>
      <c r="G254">
        <v>35</v>
      </c>
      <c r="H254" t="s">
        <v>153</v>
      </c>
    </row>
    <row r="255" spans="6:8" x14ac:dyDescent="0.25">
      <c r="F255">
        <v>248</v>
      </c>
      <c r="G255">
        <v>22</v>
      </c>
      <c r="H255" t="s">
        <v>153</v>
      </c>
    </row>
    <row r="256" spans="6:8" x14ac:dyDescent="0.25">
      <c r="F256">
        <v>249</v>
      </c>
      <c r="G256">
        <v>46</v>
      </c>
      <c r="H256" t="s">
        <v>154</v>
      </c>
    </row>
    <row r="257" spans="6:8" x14ac:dyDescent="0.25">
      <c r="F257">
        <v>250</v>
      </c>
      <c r="G257">
        <v>48</v>
      </c>
      <c r="H257" t="s">
        <v>154</v>
      </c>
    </row>
    <row r="258" spans="6:8" x14ac:dyDescent="0.25">
      <c r="F258">
        <v>251</v>
      </c>
      <c r="G258">
        <v>58</v>
      </c>
      <c r="H258" t="s">
        <v>154</v>
      </c>
    </row>
    <row r="259" spans="6:8" x14ac:dyDescent="0.25">
      <c r="F259">
        <v>252</v>
      </c>
      <c r="G259">
        <v>57</v>
      </c>
      <c r="H259" t="s">
        <v>154</v>
      </c>
    </row>
    <row r="260" spans="6:8" x14ac:dyDescent="0.25">
      <c r="F260">
        <v>253</v>
      </c>
      <c r="G260">
        <v>64</v>
      </c>
      <c r="H260" t="s">
        <v>153</v>
      </c>
    </row>
    <row r="261" spans="6:8" x14ac:dyDescent="0.25">
      <c r="F261">
        <v>254</v>
      </c>
      <c r="G261">
        <v>26</v>
      </c>
      <c r="H261" t="s">
        <v>153</v>
      </c>
    </row>
    <row r="262" spans="6:8" x14ac:dyDescent="0.25">
      <c r="F262">
        <v>255</v>
      </c>
      <c r="G262">
        <v>56</v>
      </c>
      <c r="H262" t="s">
        <v>153</v>
      </c>
    </row>
    <row r="263" spans="6:8" x14ac:dyDescent="0.25">
      <c r="F263">
        <v>256</v>
      </c>
      <c r="G263">
        <v>21</v>
      </c>
      <c r="H263" t="s">
        <v>153</v>
      </c>
    </row>
    <row r="264" spans="6:8" x14ac:dyDescent="0.25">
      <c r="F264">
        <v>257</v>
      </c>
      <c r="G264">
        <v>50</v>
      </c>
      <c r="H264" t="s">
        <v>154</v>
      </c>
    </row>
    <row r="265" spans="6:8" x14ac:dyDescent="0.25">
      <c r="F265">
        <v>258</v>
      </c>
      <c r="G265">
        <v>58</v>
      </c>
      <c r="H265" t="s">
        <v>154</v>
      </c>
    </row>
    <row r="266" spans="6:8" x14ac:dyDescent="0.25">
      <c r="F266">
        <v>259</v>
      </c>
      <c r="G266">
        <v>42</v>
      </c>
      <c r="H266" t="s">
        <v>154</v>
      </c>
    </row>
    <row r="267" spans="6:8" x14ac:dyDescent="0.25">
      <c r="F267">
        <v>260</v>
      </c>
      <c r="G267">
        <v>42</v>
      </c>
      <c r="H267" t="s">
        <v>154</v>
      </c>
    </row>
    <row r="268" spans="6:8" x14ac:dyDescent="0.25">
      <c r="F268">
        <v>261</v>
      </c>
      <c r="G268">
        <v>39</v>
      </c>
      <c r="H268" t="s">
        <v>153</v>
      </c>
    </row>
    <row r="269" spans="6:8" x14ac:dyDescent="0.25">
      <c r="F269">
        <v>262</v>
      </c>
      <c r="G269">
        <v>57</v>
      </c>
      <c r="H269" t="s">
        <v>153</v>
      </c>
    </row>
    <row r="270" spans="6:8" x14ac:dyDescent="0.25">
      <c r="F270">
        <v>263</v>
      </c>
      <c r="G270">
        <v>45</v>
      </c>
      <c r="H270" t="s">
        <v>154</v>
      </c>
    </row>
    <row r="271" spans="6:8" x14ac:dyDescent="0.25">
      <c r="F271">
        <v>264</v>
      </c>
      <c r="G271">
        <v>61</v>
      </c>
      <c r="H271" t="s">
        <v>154</v>
      </c>
    </row>
    <row r="272" spans="6:8" x14ac:dyDescent="0.25">
      <c r="F272">
        <v>265</v>
      </c>
      <c r="G272">
        <v>56</v>
      </c>
      <c r="H272" t="s">
        <v>154</v>
      </c>
    </row>
    <row r="273" spans="6:8" x14ac:dyDescent="0.25">
      <c r="F273">
        <v>266</v>
      </c>
      <c r="G273">
        <v>57</v>
      </c>
      <c r="H273" t="s">
        <v>154</v>
      </c>
    </row>
    <row r="274" spans="6:8" x14ac:dyDescent="0.25">
      <c r="F274">
        <v>267</v>
      </c>
      <c r="G274">
        <v>24</v>
      </c>
      <c r="H274" t="s">
        <v>153</v>
      </c>
    </row>
    <row r="275" spans="6:8" x14ac:dyDescent="0.25">
      <c r="F275">
        <v>268</v>
      </c>
      <c r="G275">
        <v>26</v>
      </c>
      <c r="H275" t="s">
        <v>153</v>
      </c>
    </row>
    <row r="276" spans="6:8" x14ac:dyDescent="0.25">
      <c r="F276">
        <v>269</v>
      </c>
      <c r="G276">
        <v>60</v>
      </c>
      <c r="H276" t="s">
        <v>154</v>
      </c>
    </row>
    <row r="277" spans="6:8" x14ac:dyDescent="0.25">
      <c r="F277">
        <v>270</v>
      </c>
      <c r="G277">
        <v>26</v>
      </c>
      <c r="H277" t="s">
        <v>154</v>
      </c>
    </row>
    <row r="278" spans="6:8" x14ac:dyDescent="0.25">
      <c r="F278">
        <v>271</v>
      </c>
      <c r="G278">
        <v>54</v>
      </c>
      <c r="H278" t="s">
        <v>154</v>
      </c>
    </row>
    <row r="279" spans="6:8" x14ac:dyDescent="0.25">
      <c r="F279">
        <v>272</v>
      </c>
      <c r="G279">
        <v>57</v>
      </c>
      <c r="H279" t="s">
        <v>153</v>
      </c>
    </row>
    <row r="280" spans="6:8" x14ac:dyDescent="0.25">
      <c r="F280">
        <v>273</v>
      </c>
      <c r="G280">
        <v>60</v>
      </c>
      <c r="H280" t="s">
        <v>154</v>
      </c>
    </row>
    <row r="281" spans="6:8" x14ac:dyDescent="0.25">
      <c r="F281">
        <v>274</v>
      </c>
      <c r="G281">
        <v>55</v>
      </c>
      <c r="H281" t="s">
        <v>153</v>
      </c>
    </row>
    <row r="282" spans="6:8" x14ac:dyDescent="0.25">
      <c r="F282">
        <v>275</v>
      </c>
      <c r="G282">
        <v>60</v>
      </c>
      <c r="H282" t="s">
        <v>154</v>
      </c>
    </row>
    <row r="283" spans="6:8" x14ac:dyDescent="0.25">
      <c r="F283">
        <v>276</v>
      </c>
      <c r="G283">
        <v>55</v>
      </c>
      <c r="H283" t="s">
        <v>154</v>
      </c>
    </row>
    <row r="284" spans="6:8" x14ac:dyDescent="0.25">
      <c r="F284">
        <v>277</v>
      </c>
      <c r="G284">
        <v>32</v>
      </c>
      <c r="H284" t="s">
        <v>153</v>
      </c>
    </row>
    <row r="285" spans="6:8" x14ac:dyDescent="0.25">
      <c r="F285">
        <v>278</v>
      </c>
      <c r="G285">
        <v>58</v>
      </c>
      <c r="H285" t="s">
        <v>154</v>
      </c>
    </row>
    <row r="286" spans="6:8" x14ac:dyDescent="0.25">
      <c r="F286">
        <v>279</v>
      </c>
      <c r="G286">
        <v>65</v>
      </c>
      <c r="H286" t="s">
        <v>153</v>
      </c>
    </row>
    <row r="287" spans="6:8" x14ac:dyDescent="0.25">
      <c r="F287">
        <v>280</v>
      </c>
      <c r="G287">
        <v>60</v>
      </c>
      <c r="H287" t="s">
        <v>153</v>
      </c>
    </row>
    <row r="288" spans="6:8" x14ac:dyDescent="0.25">
      <c r="F288">
        <v>281</v>
      </c>
      <c r="G288">
        <v>20</v>
      </c>
      <c r="H288" t="s">
        <v>153</v>
      </c>
    </row>
    <row r="289" spans="6:8" x14ac:dyDescent="0.25">
      <c r="F289">
        <v>282</v>
      </c>
      <c r="G289">
        <v>58</v>
      </c>
      <c r="H289" t="s">
        <v>154</v>
      </c>
    </row>
    <row r="290" spans="6:8" x14ac:dyDescent="0.25">
      <c r="F290">
        <v>283</v>
      </c>
      <c r="G290">
        <v>34</v>
      </c>
      <c r="H290" t="s">
        <v>154</v>
      </c>
    </row>
    <row r="291" spans="6:8" x14ac:dyDescent="0.25">
      <c r="F291">
        <v>284</v>
      </c>
      <c r="G291">
        <v>52</v>
      </c>
      <c r="H291" t="s">
        <v>154</v>
      </c>
    </row>
    <row r="292" spans="6:8" x14ac:dyDescent="0.25">
      <c r="F292">
        <v>285</v>
      </c>
      <c r="G292">
        <v>46</v>
      </c>
      <c r="H292" t="s">
        <v>154</v>
      </c>
    </row>
    <row r="293" spans="6:8" x14ac:dyDescent="0.25">
      <c r="F293">
        <v>286</v>
      </c>
      <c r="G293">
        <v>32</v>
      </c>
      <c r="H293" t="s">
        <v>153</v>
      </c>
    </row>
    <row r="294" spans="6:8" x14ac:dyDescent="0.25">
      <c r="F294">
        <v>287</v>
      </c>
      <c r="G294">
        <v>44</v>
      </c>
      <c r="H294" t="s">
        <v>154</v>
      </c>
    </row>
    <row r="295" spans="6:8" x14ac:dyDescent="0.25">
      <c r="F295">
        <v>288</v>
      </c>
      <c r="G295">
        <v>49</v>
      </c>
      <c r="H295" t="s">
        <v>154</v>
      </c>
    </row>
    <row r="296" spans="6:8" x14ac:dyDescent="0.25">
      <c r="F296">
        <v>289</v>
      </c>
      <c r="G296">
        <v>54</v>
      </c>
      <c r="H296" t="s">
        <v>154</v>
      </c>
    </row>
    <row r="297" spans="6:8" x14ac:dyDescent="0.25">
      <c r="F297">
        <v>290</v>
      </c>
      <c r="G297">
        <v>58</v>
      </c>
      <c r="H297" t="s">
        <v>154</v>
      </c>
    </row>
    <row r="298" spans="6:8" x14ac:dyDescent="0.25">
      <c r="F298">
        <v>291</v>
      </c>
      <c r="G298">
        <v>59</v>
      </c>
      <c r="H298" t="s">
        <v>154</v>
      </c>
    </row>
    <row r="299" spans="6:8" x14ac:dyDescent="0.25">
      <c r="F299">
        <v>292</v>
      </c>
      <c r="G299">
        <v>52</v>
      </c>
      <c r="H299" t="s">
        <v>154</v>
      </c>
    </row>
    <row r="300" spans="6:8" x14ac:dyDescent="0.25">
      <c r="F300">
        <v>293</v>
      </c>
      <c r="G300">
        <v>63</v>
      </c>
      <c r="H300" t="s">
        <v>154</v>
      </c>
    </row>
    <row r="301" spans="6:8" x14ac:dyDescent="0.25">
      <c r="F301">
        <v>294</v>
      </c>
      <c r="G301">
        <v>42</v>
      </c>
      <c r="H301" t="s">
        <v>154</v>
      </c>
    </row>
    <row r="302" spans="6:8" x14ac:dyDescent="0.25">
      <c r="F302">
        <v>295</v>
      </c>
      <c r="G302">
        <v>54</v>
      </c>
      <c r="H302" t="s">
        <v>153</v>
      </c>
    </row>
    <row r="303" spans="6:8" x14ac:dyDescent="0.25">
      <c r="F303">
        <v>296</v>
      </c>
      <c r="G303">
        <v>55</v>
      </c>
      <c r="H303" t="s">
        <v>153</v>
      </c>
    </row>
    <row r="304" spans="6:8" x14ac:dyDescent="0.25">
      <c r="F304">
        <v>297</v>
      </c>
      <c r="G304">
        <v>59</v>
      </c>
      <c r="H304" t="s">
        <v>154</v>
      </c>
    </row>
    <row r="305" spans="6:8" x14ac:dyDescent="0.25">
      <c r="F305">
        <v>298</v>
      </c>
      <c r="G305">
        <v>57</v>
      </c>
      <c r="H305" t="s">
        <v>154</v>
      </c>
    </row>
    <row r="306" spans="6:8" x14ac:dyDescent="0.25">
      <c r="F306">
        <v>299</v>
      </c>
      <c r="G306">
        <v>41</v>
      </c>
      <c r="H306" t="s">
        <v>154</v>
      </c>
    </row>
    <row r="307" spans="6:8" x14ac:dyDescent="0.25">
      <c r="F307">
        <v>300</v>
      </c>
      <c r="G307">
        <v>55</v>
      </c>
      <c r="H307" t="s">
        <v>153</v>
      </c>
    </row>
    <row r="308" spans="6:8" x14ac:dyDescent="0.25">
      <c r="F308">
        <v>301</v>
      </c>
      <c r="G308">
        <v>62</v>
      </c>
      <c r="H308" t="s">
        <v>154</v>
      </c>
    </row>
    <row r="309" spans="6:8" x14ac:dyDescent="0.25">
      <c r="F309">
        <v>302</v>
      </c>
      <c r="G309">
        <v>53</v>
      </c>
      <c r="H309" t="s">
        <v>154</v>
      </c>
    </row>
    <row r="310" spans="6:8" x14ac:dyDescent="0.25">
      <c r="F310">
        <v>303</v>
      </c>
      <c r="G310">
        <v>54</v>
      </c>
      <c r="H310" t="s">
        <v>153</v>
      </c>
    </row>
    <row r="311" spans="6:8" x14ac:dyDescent="0.25">
      <c r="F311">
        <v>304</v>
      </c>
      <c r="G311">
        <v>20</v>
      </c>
      <c r="H311" t="s">
        <v>153</v>
      </c>
    </row>
    <row r="312" spans="6:8" x14ac:dyDescent="0.25">
      <c r="F312">
        <v>305</v>
      </c>
      <c r="G312">
        <v>51</v>
      </c>
      <c r="H312" t="s">
        <v>154</v>
      </c>
    </row>
    <row r="313" spans="6:8" x14ac:dyDescent="0.25">
      <c r="F313">
        <v>306</v>
      </c>
      <c r="G313">
        <v>55</v>
      </c>
      <c r="H313" t="s">
        <v>154</v>
      </c>
    </row>
    <row r="314" spans="6:8" x14ac:dyDescent="0.25">
      <c r="F314">
        <v>307</v>
      </c>
      <c r="G314">
        <v>58</v>
      </c>
      <c r="H314" t="s">
        <v>154</v>
      </c>
    </row>
    <row r="315" spans="6:8" x14ac:dyDescent="0.25">
      <c r="F315">
        <v>308</v>
      </c>
      <c r="G315">
        <v>29</v>
      </c>
      <c r="H315" t="s">
        <v>153</v>
      </c>
    </row>
    <row r="316" spans="6:8" x14ac:dyDescent="0.25">
      <c r="F316">
        <v>309</v>
      </c>
      <c r="G316">
        <v>55</v>
      </c>
      <c r="H316" t="s">
        <v>154</v>
      </c>
    </row>
    <row r="317" spans="6:8" x14ac:dyDescent="0.25">
      <c r="F317">
        <v>310</v>
      </c>
      <c r="G317">
        <v>52</v>
      </c>
      <c r="H317" t="s">
        <v>154</v>
      </c>
    </row>
    <row r="318" spans="6:8" x14ac:dyDescent="0.25">
      <c r="F318">
        <v>311</v>
      </c>
      <c r="G318">
        <v>63</v>
      </c>
      <c r="H318" t="s">
        <v>154</v>
      </c>
    </row>
    <row r="319" spans="6:8" x14ac:dyDescent="0.25">
      <c r="F319">
        <v>312</v>
      </c>
      <c r="G319">
        <v>55</v>
      </c>
      <c r="H319" t="s">
        <v>154</v>
      </c>
    </row>
    <row r="320" spans="6:8" x14ac:dyDescent="0.25">
      <c r="F320">
        <v>313</v>
      </c>
      <c r="G320">
        <v>51</v>
      </c>
      <c r="H320" t="s">
        <v>154</v>
      </c>
    </row>
    <row r="321" spans="6:8" x14ac:dyDescent="0.25">
      <c r="F321">
        <v>314</v>
      </c>
      <c r="G321">
        <v>60</v>
      </c>
      <c r="H321" t="s">
        <v>154</v>
      </c>
    </row>
    <row r="322" spans="6:8" x14ac:dyDescent="0.25">
      <c r="F322">
        <v>315</v>
      </c>
      <c r="G322">
        <v>60</v>
      </c>
      <c r="H322" t="s">
        <v>154</v>
      </c>
    </row>
    <row r="323" spans="6:8" x14ac:dyDescent="0.25">
      <c r="F323">
        <v>316</v>
      </c>
      <c r="G323">
        <v>53</v>
      </c>
      <c r="H323" t="s">
        <v>153</v>
      </c>
    </row>
    <row r="324" spans="6:8" x14ac:dyDescent="0.25">
      <c r="F324">
        <v>317</v>
      </c>
      <c r="G324">
        <v>65</v>
      </c>
      <c r="H324" t="s">
        <v>154</v>
      </c>
    </row>
    <row r="325" spans="6:8" x14ac:dyDescent="0.25">
      <c r="F325">
        <v>318</v>
      </c>
      <c r="G325">
        <v>25</v>
      </c>
      <c r="H325" t="s">
        <v>153</v>
      </c>
    </row>
    <row r="326" spans="6:8" x14ac:dyDescent="0.25">
      <c r="F326">
        <v>319</v>
      </c>
      <c r="G326">
        <v>52</v>
      </c>
      <c r="H326" t="s">
        <v>153</v>
      </c>
    </row>
    <row r="327" spans="6:8" x14ac:dyDescent="0.25">
      <c r="F327">
        <v>320</v>
      </c>
      <c r="G327">
        <v>55</v>
      </c>
      <c r="H327" t="s">
        <v>154</v>
      </c>
    </row>
    <row r="328" spans="6:8" x14ac:dyDescent="0.25">
      <c r="F328">
        <v>321</v>
      </c>
      <c r="G328">
        <v>51</v>
      </c>
      <c r="H328" t="s">
        <v>154</v>
      </c>
    </row>
    <row r="329" spans="6:8" x14ac:dyDescent="0.25">
      <c r="F329">
        <v>322</v>
      </c>
      <c r="G329">
        <v>28</v>
      </c>
      <c r="H329" t="s">
        <v>153</v>
      </c>
    </row>
    <row r="330" spans="6:8" x14ac:dyDescent="0.25">
      <c r="F330">
        <v>323</v>
      </c>
      <c r="G330">
        <v>50</v>
      </c>
      <c r="H330" t="s">
        <v>153</v>
      </c>
    </row>
    <row r="331" spans="6:8" x14ac:dyDescent="0.25">
      <c r="F331">
        <v>324</v>
      </c>
      <c r="G331">
        <v>51</v>
      </c>
      <c r="H331" t="s">
        <v>154</v>
      </c>
    </row>
    <row r="332" spans="6:8" x14ac:dyDescent="0.25">
      <c r="F332">
        <v>325</v>
      </c>
      <c r="G332">
        <v>29</v>
      </c>
      <c r="H332" t="s">
        <v>153</v>
      </c>
    </row>
    <row r="333" spans="6:8" x14ac:dyDescent="0.25">
      <c r="F333">
        <v>326</v>
      </c>
      <c r="G333">
        <v>32</v>
      </c>
      <c r="H333" t="s">
        <v>153</v>
      </c>
    </row>
    <row r="334" spans="6:8" x14ac:dyDescent="0.25">
      <c r="F334">
        <v>327</v>
      </c>
      <c r="G334">
        <v>60</v>
      </c>
      <c r="H334" t="s">
        <v>154</v>
      </c>
    </row>
    <row r="335" spans="6:8" x14ac:dyDescent="0.25">
      <c r="F335">
        <v>328</v>
      </c>
      <c r="G335">
        <v>63</v>
      </c>
      <c r="H335" t="s">
        <v>154</v>
      </c>
    </row>
    <row r="336" spans="6:8" x14ac:dyDescent="0.25">
      <c r="F336">
        <v>329</v>
      </c>
      <c r="G336">
        <v>65</v>
      </c>
      <c r="H336" t="s">
        <v>154</v>
      </c>
    </row>
    <row r="337" spans="6:8" x14ac:dyDescent="0.25">
      <c r="F337">
        <v>330</v>
      </c>
      <c r="G337">
        <v>59</v>
      </c>
      <c r="H337" t="s">
        <v>154</v>
      </c>
    </row>
    <row r="338" spans="6:8" x14ac:dyDescent="0.25">
      <c r="F338">
        <v>331</v>
      </c>
      <c r="G338">
        <v>60</v>
      </c>
      <c r="H338" t="s">
        <v>154</v>
      </c>
    </row>
    <row r="339" spans="6:8" x14ac:dyDescent="0.25">
      <c r="F339">
        <v>332</v>
      </c>
      <c r="G339">
        <v>53</v>
      </c>
      <c r="H339" t="s">
        <v>154</v>
      </c>
    </row>
    <row r="340" spans="6:8" x14ac:dyDescent="0.25">
      <c r="F340">
        <v>333</v>
      </c>
      <c r="G340">
        <v>58</v>
      </c>
      <c r="H340" t="s">
        <v>153</v>
      </c>
    </row>
    <row r="341" spans="6:8" x14ac:dyDescent="0.25">
      <c r="F341">
        <v>334</v>
      </c>
      <c r="G341">
        <v>28</v>
      </c>
      <c r="H341" t="s">
        <v>153</v>
      </c>
    </row>
    <row r="342" spans="6:8" x14ac:dyDescent="0.25">
      <c r="F342">
        <v>335</v>
      </c>
      <c r="G342">
        <v>52</v>
      </c>
      <c r="H342" t="s">
        <v>154</v>
      </c>
    </row>
    <row r="343" spans="6:8" x14ac:dyDescent="0.25">
      <c r="F343">
        <v>336</v>
      </c>
      <c r="G343">
        <v>40</v>
      </c>
      <c r="H343" t="s">
        <v>154</v>
      </c>
    </row>
    <row r="344" spans="6:8" x14ac:dyDescent="0.25">
      <c r="F344">
        <v>337</v>
      </c>
      <c r="G344">
        <v>55</v>
      </c>
      <c r="H344" t="s">
        <v>154</v>
      </c>
    </row>
    <row r="345" spans="6:8" x14ac:dyDescent="0.25">
      <c r="F345">
        <v>338</v>
      </c>
      <c r="G345">
        <v>37</v>
      </c>
      <c r="H345" t="s">
        <v>153</v>
      </c>
    </row>
    <row r="346" spans="6:8" x14ac:dyDescent="0.25">
      <c r="F346">
        <v>339</v>
      </c>
      <c r="G346">
        <v>67</v>
      </c>
      <c r="H346" t="s">
        <v>154</v>
      </c>
    </row>
    <row r="347" spans="6:8" x14ac:dyDescent="0.25">
      <c r="F347">
        <v>340</v>
      </c>
      <c r="G347">
        <v>64</v>
      </c>
      <c r="H347" t="s">
        <v>154</v>
      </c>
    </row>
    <row r="348" spans="6:8" x14ac:dyDescent="0.25">
      <c r="F348">
        <v>341</v>
      </c>
      <c r="G348">
        <v>59</v>
      </c>
      <c r="H348" t="s">
        <v>154</v>
      </c>
    </row>
    <row r="349" spans="6:8" x14ac:dyDescent="0.25">
      <c r="F349">
        <v>342</v>
      </c>
      <c r="G349">
        <v>31</v>
      </c>
      <c r="H349" t="s">
        <v>153</v>
      </c>
    </row>
    <row r="350" spans="6:8" x14ac:dyDescent="0.25">
      <c r="F350">
        <v>343</v>
      </c>
      <c r="G350">
        <v>54</v>
      </c>
      <c r="H350" t="s">
        <v>154</v>
      </c>
    </row>
    <row r="351" spans="6:8" x14ac:dyDescent="0.25">
      <c r="F351">
        <v>344</v>
      </c>
      <c r="G351">
        <v>56</v>
      </c>
      <c r="H351" t="s">
        <v>154</v>
      </c>
    </row>
    <row r="352" spans="6:8" x14ac:dyDescent="0.25">
      <c r="F352">
        <v>345</v>
      </c>
      <c r="G352">
        <v>36</v>
      </c>
      <c r="H352" t="s">
        <v>153</v>
      </c>
    </row>
    <row r="353" spans="6:8" x14ac:dyDescent="0.25">
      <c r="F353">
        <v>346</v>
      </c>
      <c r="G353">
        <v>51</v>
      </c>
      <c r="H353" t="s">
        <v>154</v>
      </c>
    </row>
    <row r="354" spans="6:8" x14ac:dyDescent="0.25">
      <c r="F354">
        <v>347</v>
      </c>
      <c r="G354">
        <v>59</v>
      </c>
      <c r="H354" t="s">
        <v>154</v>
      </c>
    </row>
    <row r="355" spans="6:8" x14ac:dyDescent="0.25">
      <c r="F355">
        <v>348</v>
      </c>
      <c r="G355">
        <v>30</v>
      </c>
      <c r="H355" t="s">
        <v>153</v>
      </c>
    </row>
    <row r="356" spans="6:8" x14ac:dyDescent="0.25">
      <c r="F356">
        <v>349</v>
      </c>
      <c r="G356">
        <v>70</v>
      </c>
      <c r="H356" t="s">
        <v>154</v>
      </c>
    </row>
    <row r="357" spans="6:8" x14ac:dyDescent="0.25">
      <c r="F357">
        <v>350</v>
      </c>
      <c r="G357">
        <v>42</v>
      </c>
      <c r="H357" t="s">
        <v>154</v>
      </c>
    </row>
    <row r="358" spans="6:8" x14ac:dyDescent="0.25">
      <c r="F358">
        <v>351</v>
      </c>
      <c r="G358">
        <v>45</v>
      </c>
      <c r="H358" t="s">
        <v>154</v>
      </c>
    </row>
    <row r="359" spans="6:8" x14ac:dyDescent="0.25">
      <c r="F359">
        <v>352</v>
      </c>
      <c r="G359">
        <v>31</v>
      </c>
      <c r="H359" t="s">
        <v>153</v>
      </c>
    </row>
    <row r="360" spans="6:8" x14ac:dyDescent="0.25">
      <c r="F360">
        <v>353</v>
      </c>
      <c r="G360">
        <v>57</v>
      </c>
      <c r="H360" t="s">
        <v>153</v>
      </c>
    </row>
    <row r="361" spans="6:8" x14ac:dyDescent="0.25">
      <c r="F361">
        <v>354</v>
      </c>
      <c r="G361">
        <v>63</v>
      </c>
      <c r="H361" t="s">
        <v>154</v>
      </c>
    </row>
    <row r="362" spans="6:8" x14ac:dyDescent="0.25">
      <c r="F362">
        <v>355</v>
      </c>
      <c r="G362">
        <v>64</v>
      </c>
      <c r="H362" t="s">
        <v>153</v>
      </c>
    </row>
    <row r="363" spans="6:8" x14ac:dyDescent="0.25">
      <c r="F363">
        <v>356</v>
      </c>
      <c r="G363">
        <v>58</v>
      </c>
      <c r="H363" t="s">
        <v>154</v>
      </c>
    </row>
    <row r="364" spans="6:8" x14ac:dyDescent="0.25">
      <c r="F364">
        <v>357</v>
      </c>
      <c r="G364">
        <v>57</v>
      </c>
      <c r="H364" t="s">
        <v>153</v>
      </c>
    </row>
    <row r="365" spans="6:8" x14ac:dyDescent="0.25">
      <c r="F365">
        <v>358</v>
      </c>
      <c r="G365">
        <v>47</v>
      </c>
      <c r="H365" t="s">
        <v>154</v>
      </c>
    </row>
    <row r="366" spans="6:8" x14ac:dyDescent="0.25">
      <c r="F366">
        <v>359</v>
      </c>
      <c r="G366">
        <v>57</v>
      </c>
      <c r="H366" t="s">
        <v>153</v>
      </c>
    </row>
    <row r="367" spans="6:8" x14ac:dyDescent="0.25">
      <c r="F367">
        <v>360</v>
      </c>
      <c r="G367">
        <v>59</v>
      </c>
      <c r="H367" t="s">
        <v>154</v>
      </c>
    </row>
    <row r="368" spans="6:8" x14ac:dyDescent="0.25">
      <c r="F368">
        <v>361</v>
      </c>
      <c r="G368">
        <v>60</v>
      </c>
      <c r="H368" t="s">
        <v>153</v>
      </c>
    </row>
    <row r="369" spans="6:8" x14ac:dyDescent="0.25">
      <c r="F369">
        <v>362</v>
      </c>
      <c r="G369">
        <v>22</v>
      </c>
      <c r="H369" t="s">
        <v>154</v>
      </c>
    </row>
    <row r="370" spans="6:8" x14ac:dyDescent="0.25">
      <c r="F370">
        <v>363</v>
      </c>
      <c r="G370">
        <v>52</v>
      </c>
      <c r="H370" t="s">
        <v>154</v>
      </c>
    </row>
    <row r="371" spans="6:8" x14ac:dyDescent="0.25">
      <c r="F371">
        <v>364</v>
      </c>
      <c r="G371">
        <v>56</v>
      </c>
      <c r="H371" t="s">
        <v>154</v>
      </c>
    </row>
    <row r="372" spans="6:8" x14ac:dyDescent="0.25">
      <c r="F372">
        <v>365</v>
      </c>
      <c r="G372">
        <v>44</v>
      </c>
      <c r="H372" t="s">
        <v>153</v>
      </c>
    </row>
    <row r="373" spans="6:8" x14ac:dyDescent="0.25">
      <c r="F373">
        <v>366</v>
      </c>
      <c r="G373">
        <v>53</v>
      </c>
      <c r="H373" t="s">
        <v>154</v>
      </c>
    </row>
    <row r="374" spans="6:8" x14ac:dyDescent="0.25">
      <c r="F374">
        <v>367</v>
      </c>
      <c r="G374">
        <v>56</v>
      </c>
      <c r="H374" t="s">
        <v>154</v>
      </c>
    </row>
    <row r="375" spans="6:8" x14ac:dyDescent="0.25">
      <c r="F375">
        <v>368</v>
      </c>
      <c r="G375">
        <v>39</v>
      </c>
      <c r="H375" t="s">
        <v>154</v>
      </c>
    </row>
    <row r="376" spans="6:8" x14ac:dyDescent="0.25">
      <c r="F376">
        <v>369</v>
      </c>
      <c r="G376">
        <v>54</v>
      </c>
      <c r="H376" t="s">
        <v>154</v>
      </c>
    </row>
    <row r="377" spans="6:8" x14ac:dyDescent="0.25">
      <c r="F377">
        <v>370</v>
      </c>
      <c r="G377">
        <v>51</v>
      </c>
      <c r="H377" t="s">
        <v>153</v>
      </c>
    </row>
    <row r="378" spans="6:8" x14ac:dyDescent="0.25">
      <c r="F378">
        <v>371</v>
      </c>
      <c r="G378">
        <v>53</v>
      </c>
      <c r="H378" t="s">
        <v>154</v>
      </c>
    </row>
    <row r="379" spans="6:8" x14ac:dyDescent="0.25">
      <c r="F379">
        <v>372</v>
      </c>
      <c r="G379">
        <v>58</v>
      </c>
      <c r="H379" t="s">
        <v>154</v>
      </c>
    </row>
    <row r="380" spans="6:8" x14ac:dyDescent="0.25">
      <c r="F380">
        <v>373</v>
      </c>
      <c r="G380">
        <v>57</v>
      </c>
      <c r="H380" t="s">
        <v>154</v>
      </c>
    </row>
    <row r="381" spans="6:8" x14ac:dyDescent="0.25">
      <c r="F381">
        <v>374</v>
      </c>
      <c r="G381">
        <v>53</v>
      </c>
      <c r="H381" t="s">
        <v>154</v>
      </c>
    </row>
    <row r="382" spans="6:8" x14ac:dyDescent="0.25">
      <c r="F382">
        <v>375</v>
      </c>
      <c r="G382">
        <v>54</v>
      </c>
      <c r="H382" t="s">
        <v>153</v>
      </c>
    </row>
    <row r="383" spans="6:8" x14ac:dyDescent="0.25">
      <c r="F383">
        <v>376</v>
      </c>
      <c r="G383">
        <v>53</v>
      </c>
      <c r="H383" t="s">
        <v>154</v>
      </c>
    </row>
    <row r="384" spans="6:8" x14ac:dyDescent="0.25">
      <c r="F384">
        <v>377</v>
      </c>
      <c r="G384">
        <v>58</v>
      </c>
      <c r="H384" t="s">
        <v>153</v>
      </c>
    </row>
    <row r="385" spans="6:8" x14ac:dyDescent="0.25">
      <c r="F385">
        <v>378</v>
      </c>
      <c r="G385">
        <v>49</v>
      </c>
      <c r="H385" t="s">
        <v>154</v>
      </c>
    </row>
    <row r="386" spans="6:8" x14ac:dyDescent="0.25">
      <c r="F386">
        <v>379</v>
      </c>
      <c r="G386">
        <v>30</v>
      </c>
      <c r="H386" t="s">
        <v>154</v>
      </c>
    </row>
    <row r="387" spans="6:8" x14ac:dyDescent="0.25">
      <c r="F387">
        <v>380</v>
      </c>
      <c r="G387">
        <v>49</v>
      </c>
      <c r="H387" t="s">
        <v>153</v>
      </c>
    </row>
    <row r="388" spans="6:8" x14ac:dyDescent="0.25">
      <c r="F388">
        <v>381</v>
      </c>
      <c r="G388">
        <v>57</v>
      </c>
      <c r="H388" t="s">
        <v>154</v>
      </c>
    </row>
    <row r="389" spans="6:8" x14ac:dyDescent="0.25">
      <c r="F389">
        <v>382</v>
      </c>
      <c r="G389">
        <v>50</v>
      </c>
      <c r="H389" t="s">
        <v>154</v>
      </c>
    </row>
    <row r="390" spans="6:8" x14ac:dyDescent="0.25">
      <c r="F390">
        <v>383</v>
      </c>
      <c r="G390">
        <v>55</v>
      </c>
      <c r="H390" t="s">
        <v>154</v>
      </c>
    </row>
    <row r="391" spans="6:8" x14ac:dyDescent="0.25">
      <c r="F391">
        <v>384</v>
      </c>
      <c r="G391">
        <v>57</v>
      </c>
      <c r="H391" t="s">
        <v>154</v>
      </c>
    </row>
    <row r="392" spans="6:8" x14ac:dyDescent="0.25">
      <c r="F392">
        <v>385</v>
      </c>
      <c r="G392">
        <v>62</v>
      </c>
      <c r="H392" t="s">
        <v>154</v>
      </c>
    </row>
    <row r="393" spans="6:8" x14ac:dyDescent="0.25">
      <c r="F393">
        <v>386</v>
      </c>
      <c r="G393">
        <v>24</v>
      </c>
      <c r="H393" t="s">
        <v>153</v>
      </c>
    </row>
    <row r="394" spans="6:8" x14ac:dyDescent="0.25">
      <c r="F394">
        <v>387</v>
      </c>
      <c r="G394">
        <v>46</v>
      </c>
      <c r="H394" t="s">
        <v>154</v>
      </c>
    </row>
    <row r="395" spans="6:8" x14ac:dyDescent="0.25">
      <c r="F395">
        <v>388</v>
      </c>
      <c r="G395">
        <v>46</v>
      </c>
      <c r="H395" t="s">
        <v>154</v>
      </c>
    </row>
    <row r="396" spans="6:8" x14ac:dyDescent="0.25">
      <c r="F396">
        <v>389</v>
      </c>
      <c r="G396">
        <v>55</v>
      </c>
      <c r="H396" t="s">
        <v>154</v>
      </c>
    </row>
    <row r="397" spans="6:8" x14ac:dyDescent="0.25">
      <c r="F397">
        <v>390</v>
      </c>
      <c r="G397">
        <v>30</v>
      </c>
      <c r="H397" t="s">
        <v>153</v>
      </c>
    </row>
    <row r="398" spans="6:8" x14ac:dyDescent="0.25">
      <c r="F398">
        <v>391</v>
      </c>
      <c r="G398">
        <v>55</v>
      </c>
      <c r="H398" t="s">
        <v>154</v>
      </c>
    </row>
    <row r="399" spans="6:8" x14ac:dyDescent="0.25">
      <c r="F399">
        <v>392</v>
      </c>
      <c r="G399">
        <v>70</v>
      </c>
      <c r="H399" t="s">
        <v>154</v>
      </c>
    </row>
    <row r="400" spans="6:8" x14ac:dyDescent="0.25">
      <c r="F400">
        <v>393</v>
      </c>
      <c r="G400">
        <v>25</v>
      </c>
      <c r="H400" t="s">
        <v>153</v>
      </c>
    </row>
    <row r="401" spans="6:8" x14ac:dyDescent="0.25">
      <c r="F401">
        <v>394</v>
      </c>
      <c r="G401">
        <v>58</v>
      </c>
      <c r="H401" t="s">
        <v>154</v>
      </c>
    </row>
    <row r="402" spans="6:8" x14ac:dyDescent="0.25">
      <c r="F402">
        <v>395</v>
      </c>
      <c r="G402">
        <v>52</v>
      </c>
      <c r="H402" t="s">
        <v>154</v>
      </c>
    </row>
    <row r="403" spans="6:8" x14ac:dyDescent="0.25">
      <c r="F403">
        <v>396</v>
      </c>
      <c r="G403">
        <v>60</v>
      </c>
      <c r="H403" t="s">
        <v>154</v>
      </c>
    </row>
    <row r="404" spans="6:8" x14ac:dyDescent="0.25">
      <c r="F404">
        <v>397</v>
      </c>
      <c r="G404">
        <v>52</v>
      </c>
      <c r="H404" t="s">
        <v>154</v>
      </c>
    </row>
    <row r="405" spans="6:8" x14ac:dyDescent="0.25">
      <c r="F405">
        <v>398</v>
      </c>
      <c r="G405">
        <v>40</v>
      </c>
      <c r="H405" t="s">
        <v>154</v>
      </c>
    </row>
    <row r="406" spans="6:8" x14ac:dyDescent="0.25">
      <c r="F406">
        <v>399</v>
      </c>
      <c r="G406">
        <v>59</v>
      </c>
      <c r="H406" t="s">
        <v>154</v>
      </c>
    </row>
    <row r="407" spans="6:8" x14ac:dyDescent="0.25">
      <c r="F407">
        <v>400</v>
      </c>
      <c r="G407">
        <v>60</v>
      </c>
      <c r="H407" t="s">
        <v>153</v>
      </c>
    </row>
    <row r="408" spans="6:8" x14ac:dyDescent="0.25">
      <c r="F408">
        <v>401</v>
      </c>
      <c r="G408">
        <v>54</v>
      </c>
      <c r="H408" t="s">
        <v>154</v>
      </c>
    </row>
    <row r="409" spans="6:8" x14ac:dyDescent="0.25">
      <c r="F409">
        <v>402</v>
      </c>
      <c r="G409">
        <v>57</v>
      </c>
      <c r="H409" t="s">
        <v>154</v>
      </c>
    </row>
    <row r="410" spans="6:8" x14ac:dyDescent="0.25">
      <c r="F410">
        <v>403</v>
      </c>
      <c r="G410">
        <v>32</v>
      </c>
      <c r="H410" t="s">
        <v>153</v>
      </c>
    </row>
    <row r="411" spans="6:8" x14ac:dyDescent="0.25">
      <c r="F411">
        <v>404</v>
      </c>
      <c r="G411">
        <v>45</v>
      </c>
      <c r="H411" t="s">
        <v>154</v>
      </c>
    </row>
    <row r="412" spans="6:8" x14ac:dyDescent="0.25">
      <c r="F412">
        <v>405</v>
      </c>
      <c r="G412">
        <v>58</v>
      </c>
      <c r="H412" t="s">
        <v>154</v>
      </c>
    </row>
    <row r="413" spans="6:8" x14ac:dyDescent="0.25">
      <c r="F413">
        <v>406</v>
      </c>
      <c r="G413">
        <v>54</v>
      </c>
      <c r="H413" t="s">
        <v>153</v>
      </c>
    </row>
    <row r="414" spans="6:8" x14ac:dyDescent="0.25">
      <c r="F414">
        <v>407</v>
      </c>
      <c r="G414">
        <v>57</v>
      </c>
      <c r="H414" t="s">
        <v>154</v>
      </c>
    </row>
    <row r="415" spans="6:8" x14ac:dyDescent="0.25">
      <c r="F415">
        <v>408</v>
      </c>
      <c r="G415">
        <v>58</v>
      </c>
      <c r="H415" t="s">
        <v>154</v>
      </c>
    </row>
    <row r="416" spans="6:8" x14ac:dyDescent="0.25">
      <c r="F416">
        <v>409</v>
      </c>
      <c r="G416">
        <v>69</v>
      </c>
      <c r="H416" t="s">
        <v>154</v>
      </c>
    </row>
    <row r="417" spans="6:8" x14ac:dyDescent="0.25">
      <c r="F417">
        <v>410</v>
      </c>
      <c r="G417">
        <v>40</v>
      </c>
      <c r="H417" t="s">
        <v>153</v>
      </c>
    </row>
    <row r="418" spans="6:8" x14ac:dyDescent="0.25">
      <c r="F418">
        <v>411</v>
      </c>
      <c r="G418">
        <v>22</v>
      </c>
      <c r="H418" t="s">
        <v>153</v>
      </c>
    </row>
    <row r="419" spans="6:8" x14ac:dyDescent="0.25">
      <c r="F419">
        <v>412</v>
      </c>
      <c r="G419">
        <v>66</v>
      </c>
      <c r="H419" t="s">
        <v>154</v>
      </c>
    </row>
    <row r="420" spans="6:8" x14ac:dyDescent="0.25">
      <c r="F420">
        <v>413</v>
      </c>
      <c r="G420">
        <v>34</v>
      </c>
      <c r="H420" t="s">
        <v>153</v>
      </c>
    </row>
    <row r="421" spans="6:8" x14ac:dyDescent="0.25">
      <c r="F421">
        <v>414</v>
      </c>
      <c r="G421">
        <v>60</v>
      </c>
      <c r="H421" t="s">
        <v>153</v>
      </c>
    </row>
    <row r="422" spans="6:8" x14ac:dyDescent="0.25">
      <c r="F422">
        <v>415</v>
      </c>
      <c r="G422">
        <v>55</v>
      </c>
      <c r="H422" t="s">
        <v>154</v>
      </c>
    </row>
    <row r="423" spans="6:8" x14ac:dyDescent="0.25">
      <c r="F423">
        <v>416</v>
      </c>
      <c r="G423">
        <v>26</v>
      </c>
      <c r="H423" t="s">
        <v>154</v>
      </c>
    </row>
    <row r="424" spans="6:8" x14ac:dyDescent="0.25">
      <c r="F424">
        <v>417</v>
      </c>
      <c r="G424">
        <v>45</v>
      </c>
      <c r="H424" t="s">
        <v>154</v>
      </c>
    </row>
    <row r="425" spans="6:8" x14ac:dyDescent="0.25">
      <c r="F425">
        <v>418</v>
      </c>
      <c r="G425">
        <v>55</v>
      </c>
      <c r="H425" t="s">
        <v>154</v>
      </c>
    </row>
    <row r="426" spans="6:8" x14ac:dyDescent="0.25">
      <c r="F426">
        <v>419</v>
      </c>
      <c r="G426">
        <v>63</v>
      </c>
      <c r="H426" t="s">
        <v>153</v>
      </c>
    </row>
    <row r="427" spans="6:8" x14ac:dyDescent="0.25">
      <c r="F427">
        <v>420</v>
      </c>
      <c r="G427">
        <v>52</v>
      </c>
      <c r="H427" t="s">
        <v>154</v>
      </c>
    </row>
    <row r="428" spans="6:8" x14ac:dyDescent="0.25">
      <c r="F428">
        <v>421</v>
      </c>
      <c r="G428">
        <v>51</v>
      </c>
      <c r="H428" t="s">
        <v>154</v>
      </c>
    </row>
    <row r="429" spans="6:8" x14ac:dyDescent="0.25">
      <c r="F429">
        <v>422</v>
      </c>
      <c r="G429">
        <v>69</v>
      </c>
      <c r="H429" t="s">
        <v>154</v>
      </c>
    </row>
    <row r="430" spans="6:8" x14ac:dyDescent="0.25">
      <c r="F430">
        <v>423</v>
      </c>
      <c r="G430">
        <v>54</v>
      </c>
      <c r="H430" t="s">
        <v>153</v>
      </c>
    </row>
    <row r="431" spans="6:8" x14ac:dyDescent="0.25">
      <c r="F431">
        <v>424</v>
      </c>
      <c r="G431">
        <v>27</v>
      </c>
      <c r="H431" t="s">
        <v>153</v>
      </c>
    </row>
    <row r="432" spans="6:8" x14ac:dyDescent="0.25">
      <c r="F432">
        <v>425</v>
      </c>
      <c r="G432">
        <v>28</v>
      </c>
      <c r="H432" t="s">
        <v>153</v>
      </c>
    </row>
    <row r="433" spans="6:8" x14ac:dyDescent="0.25">
      <c r="F433">
        <v>426</v>
      </c>
      <c r="G433">
        <v>56</v>
      </c>
      <c r="H433" t="s">
        <v>153</v>
      </c>
    </row>
    <row r="434" spans="6:8" x14ac:dyDescent="0.25">
      <c r="F434">
        <v>427</v>
      </c>
      <c r="G434">
        <v>70</v>
      </c>
      <c r="H434" t="s">
        <v>154</v>
      </c>
    </row>
    <row r="435" spans="6:8" x14ac:dyDescent="0.25">
      <c r="F435">
        <v>428</v>
      </c>
      <c r="G435">
        <v>51</v>
      </c>
      <c r="H435" t="s">
        <v>154</v>
      </c>
    </row>
    <row r="436" spans="6:8" x14ac:dyDescent="0.25">
      <c r="F436">
        <v>429</v>
      </c>
      <c r="G436">
        <v>54</v>
      </c>
      <c r="H436" t="s">
        <v>154</v>
      </c>
    </row>
    <row r="437" spans="6:8" x14ac:dyDescent="0.25">
      <c r="F437">
        <v>430</v>
      </c>
      <c r="G437">
        <v>39</v>
      </c>
      <c r="H437" t="s">
        <v>153</v>
      </c>
    </row>
    <row r="438" spans="6:8" x14ac:dyDescent="0.25">
      <c r="F438">
        <v>431</v>
      </c>
      <c r="G438">
        <v>52</v>
      </c>
      <c r="H438" t="s">
        <v>154</v>
      </c>
    </row>
    <row r="439" spans="6:8" x14ac:dyDescent="0.25">
      <c r="F439">
        <v>432</v>
      </c>
      <c r="G439">
        <v>52</v>
      </c>
      <c r="H439" t="s">
        <v>154</v>
      </c>
    </row>
    <row r="440" spans="6:8" x14ac:dyDescent="0.25">
      <c r="F440">
        <v>433</v>
      </c>
      <c r="G440">
        <v>35</v>
      </c>
      <c r="H440" t="s">
        <v>153</v>
      </c>
    </row>
    <row r="441" spans="6:8" x14ac:dyDescent="0.25">
      <c r="F441">
        <v>434</v>
      </c>
      <c r="G441">
        <v>54</v>
      </c>
      <c r="H441" t="s">
        <v>154</v>
      </c>
    </row>
    <row r="442" spans="6:8" x14ac:dyDescent="0.25">
      <c r="F442">
        <v>435</v>
      </c>
      <c r="G442">
        <v>58</v>
      </c>
      <c r="H442" t="s">
        <v>154</v>
      </c>
    </row>
    <row r="443" spans="6:8" x14ac:dyDescent="0.25">
      <c r="F443">
        <v>436</v>
      </c>
      <c r="G443">
        <v>58</v>
      </c>
      <c r="H443" t="s">
        <v>153</v>
      </c>
    </row>
    <row r="444" spans="6:8" x14ac:dyDescent="0.25">
      <c r="F444">
        <v>437</v>
      </c>
      <c r="G444">
        <v>50</v>
      </c>
      <c r="H444" t="s">
        <v>154</v>
      </c>
    </row>
    <row r="445" spans="6:8" x14ac:dyDescent="0.25">
      <c r="F445">
        <v>438</v>
      </c>
      <c r="G445">
        <v>34</v>
      </c>
      <c r="H445" t="s">
        <v>154</v>
      </c>
    </row>
    <row r="446" spans="6:8" x14ac:dyDescent="0.25">
      <c r="F446">
        <v>439</v>
      </c>
      <c r="G446">
        <v>51</v>
      </c>
      <c r="H446" t="s">
        <v>154</v>
      </c>
    </row>
    <row r="447" spans="6:8" x14ac:dyDescent="0.25">
      <c r="F447">
        <v>440</v>
      </c>
      <c r="G447">
        <v>65</v>
      </c>
      <c r="H447" t="s">
        <v>153</v>
      </c>
    </row>
    <row r="448" spans="6:8" x14ac:dyDescent="0.25">
      <c r="F448">
        <v>441</v>
      </c>
      <c r="G448">
        <v>31</v>
      </c>
      <c r="H448" t="s">
        <v>153</v>
      </c>
    </row>
    <row r="449" spans="6:8" x14ac:dyDescent="0.25">
      <c r="F449">
        <v>442</v>
      </c>
      <c r="G449">
        <v>55</v>
      </c>
      <c r="H449" t="s">
        <v>154</v>
      </c>
    </row>
    <row r="450" spans="6:8" x14ac:dyDescent="0.25">
      <c r="F450">
        <v>443</v>
      </c>
      <c r="G450">
        <v>56</v>
      </c>
      <c r="H450" t="s">
        <v>153</v>
      </c>
    </row>
    <row r="451" spans="6:8" x14ac:dyDescent="0.25">
      <c r="F451">
        <v>444</v>
      </c>
      <c r="G451">
        <v>44</v>
      </c>
      <c r="H451" t="s">
        <v>154</v>
      </c>
    </row>
    <row r="452" spans="6:8" x14ac:dyDescent="0.25">
      <c r="F452">
        <v>445</v>
      </c>
      <c r="G452">
        <v>54</v>
      </c>
      <c r="H452" t="s">
        <v>154</v>
      </c>
    </row>
    <row r="453" spans="6:8" x14ac:dyDescent="0.25">
      <c r="F453">
        <v>446</v>
      </c>
      <c r="G453">
        <v>32</v>
      </c>
      <c r="H453" t="s">
        <v>153</v>
      </c>
    </row>
    <row r="454" spans="6:8" x14ac:dyDescent="0.25">
      <c r="F454">
        <v>447</v>
      </c>
      <c r="G454">
        <v>21</v>
      </c>
      <c r="H454" t="s">
        <v>153</v>
      </c>
    </row>
    <row r="455" spans="6:8" x14ac:dyDescent="0.25">
      <c r="F455">
        <v>448</v>
      </c>
      <c r="G455">
        <v>39</v>
      </c>
      <c r="H455" t="s">
        <v>153</v>
      </c>
    </row>
    <row r="456" spans="6:8" x14ac:dyDescent="0.25">
      <c r="F456">
        <v>449</v>
      </c>
      <c r="G456">
        <v>56</v>
      </c>
      <c r="H456" t="s">
        <v>154</v>
      </c>
    </row>
    <row r="457" spans="6:8" x14ac:dyDescent="0.25">
      <c r="F457">
        <v>450</v>
      </c>
      <c r="G457">
        <v>53</v>
      </c>
      <c r="H457" t="s">
        <v>154</v>
      </c>
    </row>
    <row r="458" spans="6:8" x14ac:dyDescent="0.25">
      <c r="F458">
        <v>451</v>
      </c>
      <c r="G458">
        <v>51</v>
      </c>
      <c r="H458" t="s">
        <v>153</v>
      </c>
    </row>
    <row r="459" spans="6:8" x14ac:dyDescent="0.25">
      <c r="F459">
        <v>452</v>
      </c>
      <c r="G459">
        <v>50</v>
      </c>
      <c r="H459" t="s">
        <v>154</v>
      </c>
    </row>
    <row r="460" spans="6:8" x14ac:dyDescent="0.25">
      <c r="F460">
        <v>453</v>
      </c>
      <c r="G460">
        <v>55</v>
      </c>
      <c r="H460" t="s">
        <v>153</v>
      </c>
    </row>
    <row r="461" spans="6:8" x14ac:dyDescent="0.25">
      <c r="F461">
        <v>454</v>
      </c>
      <c r="G461">
        <v>36</v>
      </c>
      <c r="H461" t="s">
        <v>153</v>
      </c>
    </row>
    <row r="462" spans="6:8" x14ac:dyDescent="0.25">
      <c r="F462">
        <v>455</v>
      </c>
      <c r="G462">
        <v>31</v>
      </c>
      <c r="H462" t="s">
        <v>154</v>
      </c>
    </row>
    <row r="463" spans="6:8" x14ac:dyDescent="0.25">
      <c r="F463">
        <v>456</v>
      </c>
      <c r="G463">
        <v>59</v>
      </c>
      <c r="H463" t="s">
        <v>154</v>
      </c>
    </row>
    <row r="464" spans="6:8" x14ac:dyDescent="0.25">
      <c r="F464">
        <v>457</v>
      </c>
      <c r="G464">
        <v>56</v>
      </c>
      <c r="H464" t="s">
        <v>154</v>
      </c>
    </row>
    <row r="465" spans="6:8" x14ac:dyDescent="0.25">
      <c r="F465">
        <v>458</v>
      </c>
      <c r="G465">
        <v>54</v>
      </c>
      <c r="H465" t="s">
        <v>154</v>
      </c>
    </row>
    <row r="466" spans="6:8" x14ac:dyDescent="0.25">
      <c r="F466">
        <v>459</v>
      </c>
      <c r="G466">
        <v>23</v>
      </c>
      <c r="H466" t="s">
        <v>154</v>
      </c>
    </row>
    <row r="467" spans="6:8" x14ac:dyDescent="0.25">
      <c r="F467">
        <v>460</v>
      </c>
      <c r="G467">
        <v>56</v>
      </c>
      <c r="H467" t="s">
        <v>154</v>
      </c>
    </row>
    <row r="468" spans="6:8" x14ac:dyDescent="0.25">
      <c r="F468">
        <v>461</v>
      </c>
      <c r="G468">
        <v>55</v>
      </c>
      <c r="H468" t="s">
        <v>154</v>
      </c>
    </row>
    <row r="469" spans="6:8" x14ac:dyDescent="0.25">
      <c r="F469">
        <v>462</v>
      </c>
      <c r="G469">
        <v>64</v>
      </c>
      <c r="H469" t="s">
        <v>154</v>
      </c>
    </row>
    <row r="470" spans="6:8" x14ac:dyDescent="0.25">
      <c r="F470">
        <v>463</v>
      </c>
      <c r="G470">
        <v>56</v>
      </c>
      <c r="H470" t="s">
        <v>153</v>
      </c>
    </row>
    <row r="471" spans="6:8" x14ac:dyDescent="0.25">
      <c r="F471">
        <v>464</v>
      </c>
      <c r="G471">
        <v>64</v>
      </c>
      <c r="H471" t="s">
        <v>154</v>
      </c>
    </row>
    <row r="472" spans="6:8" x14ac:dyDescent="0.25">
      <c r="F472">
        <v>465</v>
      </c>
      <c r="G472">
        <v>54</v>
      </c>
      <c r="H472" t="s">
        <v>154</v>
      </c>
    </row>
    <row r="473" spans="6:8" x14ac:dyDescent="0.25">
      <c r="F473">
        <v>466</v>
      </c>
      <c r="G473">
        <v>70</v>
      </c>
      <c r="H473" t="s">
        <v>154</v>
      </c>
    </row>
    <row r="474" spans="6:8" x14ac:dyDescent="0.25">
      <c r="F474">
        <v>467</v>
      </c>
      <c r="G474">
        <v>54</v>
      </c>
      <c r="H474" t="s">
        <v>153</v>
      </c>
    </row>
    <row r="475" spans="6:8" x14ac:dyDescent="0.25">
      <c r="F475">
        <v>468</v>
      </c>
      <c r="G475">
        <v>55</v>
      </c>
      <c r="H475" t="s">
        <v>153</v>
      </c>
    </row>
    <row r="476" spans="6:8" x14ac:dyDescent="0.25">
      <c r="F476">
        <v>469</v>
      </c>
      <c r="G476">
        <v>57</v>
      </c>
      <c r="H476" t="s">
        <v>153</v>
      </c>
    </row>
    <row r="477" spans="6:8" x14ac:dyDescent="0.25">
      <c r="F477">
        <v>470</v>
      </c>
      <c r="G477">
        <v>43</v>
      </c>
      <c r="H477" t="s">
        <v>153</v>
      </c>
    </row>
    <row r="478" spans="6:8" x14ac:dyDescent="0.25">
      <c r="F478">
        <v>471</v>
      </c>
      <c r="G478">
        <v>35</v>
      </c>
      <c r="H478" t="s">
        <v>153</v>
      </c>
    </row>
    <row r="479" spans="6:8" x14ac:dyDescent="0.25">
      <c r="F479">
        <v>472</v>
      </c>
      <c r="G479">
        <v>52</v>
      </c>
      <c r="H479" t="s">
        <v>154</v>
      </c>
    </row>
    <row r="480" spans="6:8" x14ac:dyDescent="0.25">
      <c r="F480">
        <v>473</v>
      </c>
      <c r="G480">
        <v>65</v>
      </c>
      <c r="H480" t="s">
        <v>153</v>
      </c>
    </row>
    <row r="481" spans="6:8" x14ac:dyDescent="0.25">
      <c r="F481">
        <v>474</v>
      </c>
      <c r="G481">
        <v>56</v>
      </c>
      <c r="H481" t="s">
        <v>153</v>
      </c>
    </row>
    <row r="482" spans="6:8" x14ac:dyDescent="0.25">
      <c r="F482">
        <v>475</v>
      </c>
      <c r="G482">
        <v>53</v>
      </c>
      <c r="H482" t="s">
        <v>154</v>
      </c>
    </row>
    <row r="483" spans="6:8" x14ac:dyDescent="0.25">
      <c r="F483">
        <v>476</v>
      </c>
      <c r="G483">
        <v>50</v>
      </c>
      <c r="H483" t="s">
        <v>154</v>
      </c>
    </row>
    <row r="484" spans="6:8" x14ac:dyDescent="0.25">
      <c r="F484">
        <v>477</v>
      </c>
      <c r="G484">
        <v>55</v>
      </c>
      <c r="H484" t="s">
        <v>154</v>
      </c>
    </row>
    <row r="485" spans="6:8" x14ac:dyDescent="0.25">
      <c r="F485">
        <v>478</v>
      </c>
      <c r="G485">
        <v>70</v>
      </c>
      <c r="H485" t="s">
        <v>153</v>
      </c>
    </row>
    <row r="486" spans="6:8" x14ac:dyDescent="0.25">
      <c r="F486">
        <v>479</v>
      </c>
      <c r="G486">
        <v>51</v>
      </c>
      <c r="H486" t="s">
        <v>154</v>
      </c>
    </row>
    <row r="487" spans="6:8" x14ac:dyDescent="0.25">
      <c r="F487">
        <v>480</v>
      </c>
      <c r="G487">
        <v>39</v>
      </c>
      <c r="H487" t="s">
        <v>153</v>
      </c>
    </row>
    <row r="488" spans="6:8" x14ac:dyDescent="0.25">
      <c r="F488">
        <v>481</v>
      </c>
      <c r="G488">
        <v>54</v>
      </c>
      <c r="H488" t="s">
        <v>154</v>
      </c>
    </row>
    <row r="489" spans="6:8" x14ac:dyDescent="0.25">
      <c r="F489">
        <v>482</v>
      </c>
      <c r="G489">
        <v>22</v>
      </c>
      <c r="H489" t="s">
        <v>153</v>
      </c>
    </row>
    <row r="490" spans="6:8" x14ac:dyDescent="0.25">
      <c r="F490">
        <v>483</v>
      </c>
      <c r="G490">
        <v>57</v>
      </c>
      <c r="H490" t="s">
        <v>154</v>
      </c>
    </row>
    <row r="491" spans="6:8" x14ac:dyDescent="0.25">
      <c r="F491">
        <v>484</v>
      </c>
      <c r="G491">
        <v>68</v>
      </c>
      <c r="H491" t="s">
        <v>154</v>
      </c>
    </row>
    <row r="492" spans="6:8" x14ac:dyDescent="0.25">
      <c r="F492">
        <v>485</v>
      </c>
      <c r="G492">
        <v>50</v>
      </c>
      <c r="H492" t="s">
        <v>154</v>
      </c>
    </row>
    <row r="493" spans="6:8" x14ac:dyDescent="0.25">
      <c r="F493">
        <v>486</v>
      </c>
      <c r="G493">
        <v>65</v>
      </c>
      <c r="H493" t="s">
        <v>154</v>
      </c>
    </row>
    <row r="494" spans="6:8" x14ac:dyDescent="0.25">
      <c r="F494">
        <v>487</v>
      </c>
      <c r="G494">
        <v>57</v>
      </c>
      <c r="H494" t="s">
        <v>153</v>
      </c>
    </row>
    <row r="495" spans="6:8" x14ac:dyDescent="0.25">
      <c r="F495">
        <v>488</v>
      </c>
      <c r="G495">
        <v>60</v>
      </c>
      <c r="H495" t="s">
        <v>154</v>
      </c>
    </row>
    <row r="496" spans="6:8" x14ac:dyDescent="0.25">
      <c r="F496">
        <v>489</v>
      </c>
      <c r="G496">
        <v>47</v>
      </c>
      <c r="H496" t="s">
        <v>154</v>
      </c>
    </row>
    <row r="497" spans="6:8" x14ac:dyDescent="0.25">
      <c r="F497">
        <v>490</v>
      </c>
      <c r="G497">
        <v>62</v>
      </c>
      <c r="H497" t="s">
        <v>154</v>
      </c>
    </row>
    <row r="498" spans="6:8" x14ac:dyDescent="0.25">
      <c r="F498">
        <v>491</v>
      </c>
      <c r="G498">
        <v>70</v>
      </c>
      <c r="H498" t="s">
        <v>154</v>
      </c>
    </row>
    <row r="499" spans="6:8" x14ac:dyDescent="0.25">
      <c r="F499">
        <v>492</v>
      </c>
      <c r="G499">
        <v>62</v>
      </c>
      <c r="H499" t="s">
        <v>154</v>
      </c>
    </row>
    <row r="500" spans="6:8" x14ac:dyDescent="0.25">
      <c r="F500">
        <v>493</v>
      </c>
      <c r="G500">
        <v>53</v>
      </c>
      <c r="H500" t="s">
        <v>154</v>
      </c>
    </row>
    <row r="501" spans="6:8" x14ac:dyDescent="0.25">
      <c r="F501">
        <v>494</v>
      </c>
      <c r="G501">
        <v>59</v>
      </c>
      <c r="H501" t="s">
        <v>154</v>
      </c>
    </row>
    <row r="502" spans="6:8" x14ac:dyDescent="0.25">
      <c r="F502">
        <v>495</v>
      </c>
      <c r="G502">
        <v>52</v>
      </c>
      <c r="H502" t="s">
        <v>153</v>
      </c>
    </row>
    <row r="503" spans="6:8" x14ac:dyDescent="0.25">
      <c r="F503">
        <v>496</v>
      </c>
      <c r="G503">
        <v>52</v>
      </c>
      <c r="H503" t="s">
        <v>153</v>
      </c>
    </row>
    <row r="504" spans="6:8" x14ac:dyDescent="0.25">
      <c r="F504">
        <v>497</v>
      </c>
      <c r="G504">
        <v>57</v>
      </c>
      <c r="H504" t="s">
        <v>154</v>
      </c>
    </row>
    <row r="505" spans="6:8" x14ac:dyDescent="0.25">
      <c r="F505">
        <v>498</v>
      </c>
      <c r="G505">
        <v>56</v>
      </c>
      <c r="H505" t="s">
        <v>154</v>
      </c>
    </row>
    <row r="506" spans="6:8" x14ac:dyDescent="0.25">
      <c r="F506">
        <v>499</v>
      </c>
      <c r="G506">
        <v>49</v>
      </c>
      <c r="H506" t="s">
        <v>153</v>
      </c>
    </row>
    <row r="507" spans="6:8" x14ac:dyDescent="0.25">
      <c r="F507">
        <v>500</v>
      </c>
      <c r="G507">
        <v>47</v>
      </c>
      <c r="H507" t="s">
        <v>154</v>
      </c>
    </row>
    <row r="508" spans="6:8" x14ac:dyDescent="0.25">
      <c r="F508">
        <v>501</v>
      </c>
      <c r="G508">
        <v>35</v>
      </c>
      <c r="H508" t="s">
        <v>154</v>
      </c>
    </row>
    <row r="509" spans="6:8" x14ac:dyDescent="0.25">
      <c r="F509">
        <v>502</v>
      </c>
      <c r="G509">
        <v>55</v>
      </c>
      <c r="H509" t="s">
        <v>154</v>
      </c>
    </row>
    <row r="510" spans="6:8" x14ac:dyDescent="0.25">
      <c r="F510">
        <v>503</v>
      </c>
      <c r="G510">
        <v>35</v>
      </c>
      <c r="H510" t="s">
        <v>153</v>
      </c>
    </row>
    <row r="511" spans="6:8" x14ac:dyDescent="0.25">
      <c r="F511">
        <v>504</v>
      </c>
      <c r="G511">
        <v>60</v>
      </c>
      <c r="H511" t="s">
        <v>154</v>
      </c>
    </row>
    <row r="512" spans="6:8" x14ac:dyDescent="0.25">
      <c r="F512">
        <v>505</v>
      </c>
      <c r="G512">
        <v>68</v>
      </c>
      <c r="H512" t="s">
        <v>154</v>
      </c>
    </row>
    <row r="513" spans="6:8" x14ac:dyDescent="0.25">
      <c r="F513">
        <v>506</v>
      </c>
      <c r="G513">
        <v>52</v>
      </c>
      <c r="H513" t="s">
        <v>154</v>
      </c>
    </row>
    <row r="514" spans="6:8" x14ac:dyDescent="0.25">
      <c r="F514">
        <v>507</v>
      </c>
      <c r="G514">
        <v>26</v>
      </c>
      <c r="H514" t="s">
        <v>154</v>
      </c>
    </row>
    <row r="515" spans="6:8" x14ac:dyDescent="0.25">
      <c r="F515">
        <v>508</v>
      </c>
      <c r="G515">
        <v>52</v>
      </c>
      <c r="H515" t="s">
        <v>154</v>
      </c>
    </row>
    <row r="516" spans="6:8" x14ac:dyDescent="0.25">
      <c r="F516">
        <v>509</v>
      </c>
      <c r="G516">
        <v>50</v>
      </c>
      <c r="H516" t="s">
        <v>154</v>
      </c>
    </row>
    <row r="517" spans="6:8" x14ac:dyDescent="0.25">
      <c r="F517">
        <v>510</v>
      </c>
      <c r="G517">
        <v>53</v>
      </c>
      <c r="H517" t="s">
        <v>153</v>
      </c>
    </row>
    <row r="518" spans="6:8" x14ac:dyDescent="0.25">
      <c r="F518">
        <v>511</v>
      </c>
      <c r="G518">
        <v>54</v>
      </c>
      <c r="H518" t="s">
        <v>154</v>
      </c>
    </row>
    <row r="519" spans="6:8" x14ac:dyDescent="0.25">
      <c r="F519">
        <v>512</v>
      </c>
      <c r="G519">
        <v>55</v>
      </c>
      <c r="H519" t="s">
        <v>154</v>
      </c>
    </row>
    <row r="520" spans="6:8" x14ac:dyDescent="0.25">
      <c r="F520">
        <v>513</v>
      </c>
      <c r="G520">
        <v>60</v>
      </c>
      <c r="H520" t="s">
        <v>154</v>
      </c>
    </row>
    <row r="521" spans="6:8" x14ac:dyDescent="0.25">
      <c r="F521">
        <v>514</v>
      </c>
      <c r="G521">
        <v>50</v>
      </c>
      <c r="H521" t="s">
        <v>154</v>
      </c>
    </row>
    <row r="522" spans="6:8" x14ac:dyDescent="0.25">
      <c r="F522">
        <v>515</v>
      </c>
      <c r="G522">
        <v>37</v>
      </c>
      <c r="H522" t="s">
        <v>153</v>
      </c>
    </row>
    <row r="523" spans="6:8" x14ac:dyDescent="0.25">
      <c r="F523">
        <v>516</v>
      </c>
      <c r="G523">
        <v>38</v>
      </c>
      <c r="H523" t="s">
        <v>153</v>
      </c>
    </row>
    <row r="524" spans="6:8" x14ac:dyDescent="0.25">
      <c r="F524">
        <v>517</v>
      </c>
      <c r="G524">
        <v>64</v>
      </c>
      <c r="H524" t="s">
        <v>154</v>
      </c>
    </row>
    <row r="525" spans="6:8" x14ac:dyDescent="0.25">
      <c r="F525">
        <v>518</v>
      </c>
      <c r="G525">
        <v>52</v>
      </c>
      <c r="H525" t="s">
        <v>153</v>
      </c>
    </row>
    <row r="526" spans="6:8" x14ac:dyDescent="0.25">
      <c r="F526">
        <v>519</v>
      </c>
      <c r="G526">
        <v>40</v>
      </c>
      <c r="H526" t="s">
        <v>153</v>
      </c>
    </row>
    <row r="527" spans="6:8" x14ac:dyDescent="0.25">
      <c r="F527">
        <v>520</v>
      </c>
      <c r="G527">
        <v>57</v>
      </c>
      <c r="H527" t="s">
        <v>154</v>
      </c>
    </row>
    <row r="528" spans="6:8" x14ac:dyDescent="0.25">
      <c r="F528">
        <v>521</v>
      </c>
      <c r="G528">
        <v>56</v>
      </c>
      <c r="H528" t="s">
        <v>154</v>
      </c>
    </row>
    <row r="529" spans="6:8" x14ac:dyDescent="0.25">
      <c r="F529">
        <v>522</v>
      </c>
      <c r="G529">
        <v>54</v>
      </c>
      <c r="H529" t="s">
        <v>154</v>
      </c>
    </row>
    <row r="530" spans="6:8" x14ac:dyDescent="0.25">
      <c r="F530">
        <v>523</v>
      </c>
      <c r="G530">
        <v>58</v>
      </c>
      <c r="H530" t="s">
        <v>154</v>
      </c>
    </row>
    <row r="531" spans="6:8" x14ac:dyDescent="0.25">
      <c r="F531">
        <v>524</v>
      </c>
      <c r="G531">
        <v>52</v>
      </c>
      <c r="H531" t="s">
        <v>154</v>
      </c>
    </row>
    <row r="532" spans="6:8" x14ac:dyDescent="0.25">
      <c r="F532">
        <v>525</v>
      </c>
      <c r="G532">
        <v>60</v>
      </c>
      <c r="H532" t="s">
        <v>153</v>
      </c>
    </row>
    <row r="533" spans="6:8" x14ac:dyDescent="0.25">
      <c r="F533">
        <v>526</v>
      </c>
      <c r="G533">
        <v>60</v>
      </c>
      <c r="H533" t="s">
        <v>154</v>
      </c>
    </row>
    <row r="534" spans="6:8" x14ac:dyDescent="0.25">
      <c r="F534">
        <v>527</v>
      </c>
      <c r="G534">
        <v>52</v>
      </c>
      <c r="H534" t="s">
        <v>154</v>
      </c>
    </row>
    <row r="535" spans="6:8" x14ac:dyDescent="0.25">
      <c r="F535">
        <v>528</v>
      </c>
      <c r="G535">
        <v>59</v>
      </c>
      <c r="H535" t="s">
        <v>153</v>
      </c>
    </row>
    <row r="536" spans="6:8" x14ac:dyDescent="0.25">
      <c r="F536">
        <v>529</v>
      </c>
      <c r="G536">
        <v>53</v>
      </c>
      <c r="H536" t="s">
        <v>154</v>
      </c>
    </row>
    <row r="537" spans="6:8" x14ac:dyDescent="0.25">
      <c r="F537">
        <v>530</v>
      </c>
      <c r="G537">
        <v>24</v>
      </c>
      <c r="H537" t="s">
        <v>153</v>
      </c>
    </row>
    <row r="538" spans="6:8" x14ac:dyDescent="0.25">
      <c r="F538">
        <v>531</v>
      </c>
      <c r="G538">
        <v>32</v>
      </c>
      <c r="H538" t="s">
        <v>153</v>
      </c>
    </row>
    <row r="539" spans="6:8" x14ac:dyDescent="0.25">
      <c r="F539">
        <v>532</v>
      </c>
      <c r="G539">
        <v>55</v>
      </c>
      <c r="H539" t="s">
        <v>154</v>
      </c>
    </row>
    <row r="540" spans="6:8" x14ac:dyDescent="0.25">
      <c r="F540">
        <v>533</v>
      </c>
      <c r="G540">
        <v>25</v>
      </c>
      <c r="H540" t="s">
        <v>154</v>
      </c>
    </row>
    <row r="541" spans="6:8" x14ac:dyDescent="0.25">
      <c r="F541">
        <v>534</v>
      </c>
      <c r="G541">
        <v>57</v>
      </c>
      <c r="H541" t="s">
        <v>154</v>
      </c>
    </row>
    <row r="542" spans="6:8" x14ac:dyDescent="0.25">
      <c r="F542">
        <v>535</v>
      </c>
      <c r="G542">
        <v>59</v>
      </c>
      <c r="H542" t="s">
        <v>154</v>
      </c>
    </row>
    <row r="543" spans="6:8" x14ac:dyDescent="0.25">
      <c r="F543">
        <v>536</v>
      </c>
      <c r="G543">
        <v>49</v>
      </c>
      <c r="H543" t="s">
        <v>154</v>
      </c>
    </row>
    <row r="544" spans="6:8" x14ac:dyDescent="0.25">
      <c r="F544">
        <v>537</v>
      </c>
      <c r="G544">
        <v>55</v>
      </c>
      <c r="H544" t="s">
        <v>153</v>
      </c>
    </row>
    <row r="545" spans="6:8" x14ac:dyDescent="0.25">
      <c r="F545">
        <v>538</v>
      </c>
      <c r="G545">
        <v>53</v>
      </c>
      <c r="H545" t="s">
        <v>154</v>
      </c>
    </row>
    <row r="546" spans="6:8" x14ac:dyDescent="0.25">
      <c r="F546">
        <v>539</v>
      </c>
      <c r="G546">
        <v>45</v>
      </c>
      <c r="H546" t="s">
        <v>153</v>
      </c>
    </row>
    <row r="547" spans="6:8" x14ac:dyDescent="0.25">
      <c r="F547">
        <v>540</v>
      </c>
      <c r="G547">
        <v>55</v>
      </c>
      <c r="H547" t="s">
        <v>154</v>
      </c>
    </row>
    <row r="548" spans="6:8" x14ac:dyDescent="0.25">
      <c r="F548">
        <v>541</v>
      </c>
      <c r="G548">
        <v>34</v>
      </c>
      <c r="H548" t="s">
        <v>153</v>
      </c>
    </row>
    <row r="549" spans="6:8" x14ac:dyDescent="0.25">
      <c r="F549">
        <v>542</v>
      </c>
      <c r="G549">
        <v>64</v>
      </c>
      <c r="H549" t="s">
        <v>154</v>
      </c>
    </row>
    <row r="550" spans="6:8" x14ac:dyDescent="0.25">
      <c r="F550">
        <v>543</v>
      </c>
      <c r="G550">
        <v>40</v>
      </c>
      <c r="H550" t="s">
        <v>153</v>
      </c>
    </row>
    <row r="551" spans="6:8" x14ac:dyDescent="0.25">
      <c r="F551">
        <v>544</v>
      </c>
      <c r="G551">
        <v>59</v>
      </c>
      <c r="H551" t="s">
        <v>154</v>
      </c>
    </row>
    <row r="552" spans="6:8" x14ac:dyDescent="0.25">
      <c r="F552">
        <v>545</v>
      </c>
      <c r="G552">
        <v>28</v>
      </c>
      <c r="H552" t="s">
        <v>153</v>
      </c>
    </row>
    <row r="553" spans="6:8" x14ac:dyDescent="0.25">
      <c r="F553">
        <v>546</v>
      </c>
      <c r="G553">
        <v>56</v>
      </c>
      <c r="H553" t="s">
        <v>153</v>
      </c>
    </row>
    <row r="554" spans="6:8" x14ac:dyDescent="0.25">
      <c r="F554">
        <v>547</v>
      </c>
      <c r="G554">
        <v>70</v>
      </c>
      <c r="H554" t="s">
        <v>154</v>
      </c>
    </row>
    <row r="555" spans="6:8" x14ac:dyDescent="0.25">
      <c r="F555">
        <v>548</v>
      </c>
      <c r="G555">
        <v>56</v>
      </c>
      <c r="H555" t="s">
        <v>154</v>
      </c>
    </row>
    <row r="556" spans="6:8" x14ac:dyDescent="0.25">
      <c r="F556">
        <v>549</v>
      </c>
      <c r="G556">
        <v>55</v>
      </c>
      <c r="H556" t="s">
        <v>153</v>
      </c>
    </row>
    <row r="557" spans="6:8" x14ac:dyDescent="0.25">
      <c r="F557">
        <v>550</v>
      </c>
      <c r="G557">
        <v>22</v>
      </c>
      <c r="H557" t="s">
        <v>154</v>
      </c>
    </row>
    <row r="558" spans="6:8" x14ac:dyDescent="0.25">
      <c r="F558">
        <v>551</v>
      </c>
      <c r="G558">
        <v>52</v>
      </c>
      <c r="H558" t="s">
        <v>153</v>
      </c>
    </row>
    <row r="559" spans="6:8" x14ac:dyDescent="0.25">
      <c r="F559">
        <v>552</v>
      </c>
      <c r="G559">
        <v>50</v>
      </c>
      <c r="H559" t="s">
        <v>154</v>
      </c>
    </row>
    <row r="560" spans="6:8" x14ac:dyDescent="0.25">
      <c r="F560">
        <v>553</v>
      </c>
      <c r="G560">
        <v>49</v>
      </c>
      <c r="H560" t="s">
        <v>154</v>
      </c>
    </row>
    <row r="561" spans="6:8" x14ac:dyDescent="0.25">
      <c r="F561">
        <v>554</v>
      </c>
      <c r="G561">
        <v>35</v>
      </c>
      <c r="H561" t="s">
        <v>153</v>
      </c>
    </row>
    <row r="562" spans="6:8" x14ac:dyDescent="0.25">
      <c r="F562">
        <v>555</v>
      </c>
      <c r="G562">
        <v>35</v>
      </c>
      <c r="H562" t="s">
        <v>153</v>
      </c>
    </row>
    <row r="563" spans="6:8" x14ac:dyDescent="0.25">
      <c r="F563">
        <v>556</v>
      </c>
      <c r="G563">
        <v>51</v>
      </c>
      <c r="H563" t="s">
        <v>154</v>
      </c>
    </row>
    <row r="564" spans="6:8" x14ac:dyDescent="0.25">
      <c r="F564">
        <v>557</v>
      </c>
      <c r="G564">
        <v>35</v>
      </c>
      <c r="H564" t="s">
        <v>154</v>
      </c>
    </row>
    <row r="565" spans="6:8" x14ac:dyDescent="0.25">
      <c r="F565">
        <v>558</v>
      </c>
      <c r="G565">
        <v>53</v>
      </c>
      <c r="H565" t="s">
        <v>153</v>
      </c>
    </row>
    <row r="566" spans="6:8" x14ac:dyDescent="0.25">
      <c r="F566">
        <v>559</v>
      </c>
      <c r="G566">
        <v>56</v>
      </c>
      <c r="H566" t="s">
        <v>154</v>
      </c>
    </row>
    <row r="567" spans="6:8" x14ac:dyDescent="0.25">
      <c r="F567">
        <v>560</v>
      </c>
      <c r="G567">
        <v>62</v>
      </c>
      <c r="H567" t="s">
        <v>154</v>
      </c>
    </row>
    <row r="568" spans="6:8" x14ac:dyDescent="0.25">
      <c r="F568">
        <v>561</v>
      </c>
      <c r="G568">
        <v>61</v>
      </c>
      <c r="H568" t="s">
        <v>154</v>
      </c>
    </row>
    <row r="569" spans="6:8" x14ac:dyDescent="0.25">
      <c r="F569">
        <v>562</v>
      </c>
      <c r="G569">
        <v>63</v>
      </c>
      <c r="H569" t="s">
        <v>154</v>
      </c>
    </row>
    <row r="570" spans="6:8" x14ac:dyDescent="0.25">
      <c r="F570">
        <v>563</v>
      </c>
      <c r="G570">
        <v>53</v>
      </c>
      <c r="H570" t="s">
        <v>153</v>
      </c>
    </row>
    <row r="571" spans="6:8" x14ac:dyDescent="0.25">
      <c r="F571">
        <v>564</v>
      </c>
      <c r="G571">
        <v>45</v>
      </c>
      <c r="H571" t="s">
        <v>154</v>
      </c>
    </row>
    <row r="572" spans="6:8" x14ac:dyDescent="0.25">
      <c r="F572">
        <v>565</v>
      </c>
      <c r="G572">
        <v>63</v>
      </c>
      <c r="H572" t="s">
        <v>153</v>
      </c>
    </row>
    <row r="573" spans="6:8" x14ac:dyDescent="0.25">
      <c r="F573">
        <v>566</v>
      </c>
      <c r="G573">
        <v>34</v>
      </c>
      <c r="H573" t="s">
        <v>153</v>
      </c>
    </row>
    <row r="574" spans="6:8" x14ac:dyDescent="0.25">
      <c r="F574">
        <v>567</v>
      </c>
      <c r="G574">
        <v>58</v>
      </c>
      <c r="H574" t="s">
        <v>154</v>
      </c>
    </row>
    <row r="575" spans="6:8" x14ac:dyDescent="0.25">
      <c r="F575">
        <v>568</v>
      </c>
      <c r="G575">
        <v>61</v>
      </c>
      <c r="H575" t="s">
        <v>154</v>
      </c>
    </row>
    <row r="576" spans="6:8" x14ac:dyDescent="0.25">
      <c r="F576">
        <v>569</v>
      </c>
      <c r="G576">
        <v>55</v>
      </c>
      <c r="H576" t="s">
        <v>154</v>
      </c>
    </row>
    <row r="577" spans="6:8" x14ac:dyDescent="0.25">
      <c r="F577">
        <v>570</v>
      </c>
      <c r="G577">
        <v>21</v>
      </c>
      <c r="H577" t="s">
        <v>154</v>
      </c>
    </row>
    <row r="578" spans="6:8" x14ac:dyDescent="0.25">
      <c r="F578">
        <v>571</v>
      </c>
      <c r="G578">
        <v>68</v>
      </c>
      <c r="H578" t="s">
        <v>154</v>
      </c>
    </row>
    <row r="579" spans="6:8" x14ac:dyDescent="0.25">
      <c r="F579">
        <v>572</v>
      </c>
      <c r="G579">
        <v>49</v>
      </c>
      <c r="H579" t="s">
        <v>154</v>
      </c>
    </row>
    <row r="580" spans="6:8" x14ac:dyDescent="0.25">
      <c r="F580">
        <v>573</v>
      </c>
      <c r="G580">
        <v>57</v>
      </c>
      <c r="H580" t="s">
        <v>154</v>
      </c>
    </row>
    <row r="581" spans="6:8" x14ac:dyDescent="0.25">
      <c r="F581">
        <v>574</v>
      </c>
      <c r="G581">
        <v>55</v>
      </c>
      <c r="H581" t="s">
        <v>154</v>
      </c>
    </row>
    <row r="582" spans="6:8" x14ac:dyDescent="0.25">
      <c r="F582">
        <v>575</v>
      </c>
      <c r="G582">
        <v>69</v>
      </c>
      <c r="H582" t="s">
        <v>154</v>
      </c>
    </row>
    <row r="583" spans="6:8" x14ac:dyDescent="0.25">
      <c r="F583">
        <v>576</v>
      </c>
      <c r="G583">
        <v>52</v>
      </c>
      <c r="H583" t="s">
        <v>154</v>
      </c>
    </row>
    <row r="584" spans="6:8" x14ac:dyDescent="0.25">
      <c r="F584">
        <v>577</v>
      </c>
      <c r="G584">
        <v>55</v>
      </c>
      <c r="H584" t="s">
        <v>153</v>
      </c>
    </row>
    <row r="585" spans="6:8" x14ac:dyDescent="0.25">
      <c r="F585">
        <v>578</v>
      </c>
      <c r="G585">
        <v>59</v>
      </c>
      <c r="H585" t="s">
        <v>153</v>
      </c>
    </row>
    <row r="586" spans="6:8" x14ac:dyDescent="0.25">
      <c r="F586">
        <v>579</v>
      </c>
      <c r="G586">
        <v>60</v>
      </c>
      <c r="H586" t="s">
        <v>154</v>
      </c>
    </row>
    <row r="587" spans="6:8" x14ac:dyDescent="0.25">
      <c r="F587">
        <v>580</v>
      </c>
      <c r="G587">
        <v>51</v>
      </c>
      <c r="H587" t="s">
        <v>154</v>
      </c>
    </row>
    <row r="588" spans="6:8" x14ac:dyDescent="0.25">
      <c r="F588">
        <v>581</v>
      </c>
      <c r="G588">
        <v>52</v>
      </c>
      <c r="H588" t="s">
        <v>153</v>
      </c>
    </row>
    <row r="589" spans="6:8" x14ac:dyDescent="0.25">
      <c r="F589">
        <v>582</v>
      </c>
      <c r="G589">
        <v>59</v>
      </c>
      <c r="H589" t="s">
        <v>154</v>
      </c>
    </row>
    <row r="590" spans="6:8" x14ac:dyDescent="0.25">
      <c r="F590">
        <v>583</v>
      </c>
      <c r="G590">
        <v>25</v>
      </c>
      <c r="H590" t="s">
        <v>153</v>
      </c>
    </row>
    <row r="591" spans="6:8" x14ac:dyDescent="0.25">
      <c r="F591">
        <v>584</v>
      </c>
      <c r="G591">
        <v>52</v>
      </c>
      <c r="H591" t="s">
        <v>153</v>
      </c>
    </row>
    <row r="592" spans="6:8" x14ac:dyDescent="0.25">
      <c r="F592">
        <v>585</v>
      </c>
      <c r="G592">
        <v>53</v>
      </c>
      <c r="H592" t="s">
        <v>154</v>
      </c>
    </row>
    <row r="593" spans="6:8" x14ac:dyDescent="0.25">
      <c r="F593">
        <v>586</v>
      </c>
      <c r="G593">
        <v>57</v>
      </c>
      <c r="H593" t="s">
        <v>154</v>
      </c>
    </row>
    <row r="594" spans="6:8" x14ac:dyDescent="0.25">
      <c r="F594">
        <v>587</v>
      </c>
      <c r="G594">
        <v>50</v>
      </c>
      <c r="H594" t="s">
        <v>154</v>
      </c>
    </row>
    <row r="595" spans="6:8" x14ac:dyDescent="0.25">
      <c r="F595">
        <v>588</v>
      </c>
      <c r="G595">
        <v>31</v>
      </c>
      <c r="H595" t="s">
        <v>153</v>
      </c>
    </row>
    <row r="596" spans="6:8" x14ac:dyDescent="0.25">
      <c r="F596">
        <v>589</v>
      </c>
      <c r="G596">
        <v>57</v>
      </c>
      <c r="H596" t="s">
        <v>154</v>
      </c>
    </row>
    <row r="597" spans="6:8" x14ac:dyDescent="0.25">
      <c r="F597">
        <v>590</v>
      </c>
      <c r="G597">
        <v>52</v>
      </c>
      <c r="H597" t="s">
        <v>154</v>
      </c>
    </row>
    <row r="598" spans="6:8" x14ac:dyDescent="0.25">
      <c r="F598">
        <v>591</v>
      </c>
      <c r="G598">
        <v>60</v>
      </c>
      <c r="H598" t="s">
        <v>153</v>
      </c>
    </row>
    <row r="599" spans="6:8" x14ac:dyDescent="0.25">
      <c r="F599">
        <v>592</v>
      </c>
      <c r="G599">
        <v>35</v>
      </c>
      <c r="H599" t="s">
        <v>154</v>
      </c>
    </row>
    <row r="600" spans="6:8" x14ac:dyDescent="0.25">
      <c r="F600">
        <v>593</v>
      </c>
      <c r="G600">
        <v>62</v>
      </c>
      <c r="H600" t="s">
        <v>154</v>
      </c>
    </row>
    <row r="601" spans="6:8" x14ac:dyDescent="0.25">
      <c r="F601">
        <v>594</v>
      </c>
      <c r="G601">
        <v>55</v>
      </c>
      <c r="H601" t="s">
        <v>154</v>
      </c>
    </row>
    <row r="602" spans="6:8" x14ac:dyDescent="0.25">
      <c r="F602">
        <v>595</v>
      </c>
      <c r="G602">
        <v>59</v>
      </c>
      <c r="H602" t="s">
        <v>154</v>
      </c>
    </row>
    <row r="603" spans="6:8" x14ac:dyDescent="0.25">
      <c r="F603">
        <v>596</v>
      </c>
      <c r="G603">
        <v>50</v>
      </c>
      <c r="H603" t="s">
        <v>154</v>
      </c>
    </row>
    <row r="604" spans="6:8" x14ac:dyDescent="0.25">
      <c r="F604">
        <v>597</v>
      </c>
      <c r="G604">
        <v>65</v>
      </c>
      <c r="H604" t="s">
        <v>154</v>
      </c>
    </row>
    <row r="605" spans="6:8" x14ac:dyDescent="0.25">
      <c r="F605">
        <v>598</v>
      </c>
      <c r="G605">
        <v>67</v>
      </c>
      <c r="H605" t="s">
        <v>154</v>
      </c>
    </row>
    <row r="606" spans="6:8" x14ac:dyDescent="0.25">
      <c r="F606">
        <v>599</v>
      </c>
      <c r="G606">
        <v>50</v>
      </c>
      <c r="H606" t="s">
        <v>154</v>
      </c>
    </row>
    <row r="607" spans="6:8" x14ac:dyDescent="0.25">
      <c r="F607">
        <v>600</v>
      </c>
      <c r="G607">
        <v>57</v>
      </c>
      <c r="H607" t="s">
        <v>154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J1:P55"/>
  <sheetViews>
    <sheetView topLeftCell="J7" workbookViewId="0">
      <selection activeCell="R26" sqref="R26"/>
    </sheetView>
  </sheetViews>
  <sheetFormatPr defaultRowHeight="15" x14ac:dyDescent="0.25"/>
  <cols>
    <col min="1" max="9" width="0" hidden="1" customWidth="1"/>
    <col min="10" max="10" width="13.85546875" bestFit="1" customWidth="1"/>
    <col min="11" max="11" width="15.140625" bestFit="1" customWidth="1"/>
    <col min="12" max="12" width="14.42578125" bestFit="1" customWidth="1"/>
    <col min="16" max="16" width="10.7109375" bestFit="1" customWidth="1"/>
  </cols>
  <sheetData>
    <row r="1" spans="10:16" hidden="1" x14ac:dyDescent="0.25"/>
    <row r="2" spans="10:16" hidden="1" x14ac:dyDescent="0.25"/>
    <row r="3" spans="10:16" hidden="1" x14ac:dyDescent="0.25"/>
    <row r="4" spans="10:16" hidden="1" x14ac:dyDescent="0.25"/>
    <row r="5" spans="10:16" hidden="1" x14ac:dyDescent="0.25"/>
    <row r="6" spans="10:16" hidden="1" x14ac:dyDescent="0.25"/>
    <row r="7" spans="10:16" x14ac:dyDescent="0.25">
      <c r="J7" t="s">
        <v>25</v>
      </c>
      <c r="K7" t="s">
        <v>26</v>
      </c>
      <c r="L7" t="s">
        <v>139</v>
      </c>
    </row>
    <row r="8" spans="10:16" x14ac:dyDescent="0.25">
      <c r="J8" t="s">
        <v>31</v>
      </c>
      <c r="K8" t="s">
        <v>27</v>
      </c>
      <c r="L8" s="1">
        <v>42433</v>
      </c>
      <c r="P8" s="1"/>
    </row>
    <row r="9" spans="10:16" x14ac:dyDescent="0.25">
      <c r="J9" t="s">
        <v>32</v>
      </c>
      <c r="K9" t="s">
        <v>28</v>
      </c>
      <c r="L9" s="1">
        <v>43161</v>
      </c>
    </row>
    <row r="10" spans="10:16" x14ac:dyDescent="0.25">
      <c r="J10" t="s">
        <v>33</v>
      </c>
      <c r="K10" t="s">
        <v>29</v>
      </c>
      <c r="L10" s="1">
        <v>42795</v>
      </c>
    </row>
    <row r="11" spans="10:16" x14ac:dyDescent="0.25">
      <c r="J11" t="s">
        <v>34</v>
      </c>
      <c r="K11" t="s">
        <v>30</v>
      </c>
      <c r="L11" s="1">
        <v>43765</v>
      </c>
    </row>
    <row r="12" spans="10:16" x14ac:dyDescent="0.25">
      <c r="J12" t="s">
        <v>35</v>
      </c>
      <c r="K12" t="s">
        <v>3</v>
      </c>
      <c r="L12" s="1">
        <v>42465</v>
      </c>
    </row>
    <row r="13" spans="10:16" x14ac:dyDescent="0.25">
      <c r="J13" t="s">
        <v>40</v>
      </c>
      <c r="K13" t="s">
        <v>0</v>
      </c>
      <c r="L13" s="1">
        <v>43287</v>
      </c>
    </row>
    <row r="14" spans="10:16" x14ac:dyDescent="0.25">
      <c r="J14" t="s">
        <v>41</v>
      </c>
      <c r="K14" t="s">
        <v>36</v>
      </c>
      <c r="L14" s="1">
        <v>42880</v>
      </c>
    </row>
    <row r="15" spans="10:16" x14ac:dyDescent="0.25">
      <c r="J15" t="s">
        <v>42</v>
      </c>
      <c r="K15" t="s">
        <v>1</v>
      </c>
      <c r="L15" s="1">
        <v>43712</v>
      </c>
    </row>
    <row r="16" spans="10:16" x14ac:dyDescent="0.25">
      <c r="J16" t="s">
        <v>43</v>
      </c>
      <c r="K16" t="s">
        <v>37</v>
      </c>
      <c r="L16" s="1">
        <v>43490</v>
      </c>
    </row>
    <row r="17" spans="10:12" x14ac:dyDescent="0.25">
      <c r="J17" t="s">
        <v>44</v>
      </c>
      <c r="K17" t="s">
        <v>2</v>
      </c>
      <c r="L17" s="1">
        <v>42641</v>
      </c>
    </row>
    <row r="18" spans="10:12" x14ac:dyDescent="0.25">
      <c r="J18" t="s">
        <v>45</v>
      </c>
      <c r="K18" t="s">
        <v>38</v>
      </c>
      <c r="L18" s="1">
        <v>43534</v>
      </c>
    </row>
    <row r="19" spans="10:12" x14ac:dyDescent="0.25">
      <c r="J19" t="s">
        <v>46</v>
      </c>
      <c r="K19" t="s">
        <v>39</v>
      </c>
      <c r="L19" s="1">
        <v>43490</v>
      </c>
    </row>
    <row r="20" spans="10:12" x14ac:dyDescent="0.25">
      <c r="J20" t="s">
        <v>47</v>
      </c>
      <c r="K20" t="s">
        <v>48</v>
      </c>
      <c r="L20" s="1">
        <v>42542</v>
      </c>
    </row>
    <row r="21" spans="10:12" x14ac:dyDescent="0.25">
      <c r="J21" t="s">
        <v>51</v>
      </c>
      <c r="K21" t="s">
        <v>49</v>
      </c>
      <c r="L21" s="1">
        <v>42394</v>
      </c>
    </row>
    <row r="22" spans="10:12" x14ac:dyDescent="0.25">
      <c r="J22" t="s">
        <v>52</v>
      </c>
      <c r="K22" t="s">
        <v>50</v>
      </c>
      <c r="L22" s="1">
        <v>43917</v>
      </c>
    </row>
    <row r="23" spans="10:12" x14ac:dyDescent="0.25">
      <c r="J23" t="s">
        <v>53</v>
      </c>
      <c r="K23" t="s">
        <v>54</v>
      </c>
      <c r="L23" s="1">
        <v>42816</v>
      </c>
    </row>
    <row r="24" spans="10:12" x14ac:dyDescent="0.25">
      <c r="J24" t="s">
        <v>60</v>
      </c>
      <c r="K24" t="s">
        <v>55</v>
      </c>
      <c r="L24" s="1">
        <v>43555</v>
      </c>
    </row>
    <row r="25" spans="10:12" x14ac:dyDescent="0.25">
      <c r="J25" t="s">
        <v>61</v>
      </c>
      <c r="K25" t="s">
        <v>56</v>
      </c>
      <c r="L25" s="1">
        <v>42607</v>
      </c>
    </row>
    <row r="26" spans="10:12" x14ac:dyDescent="0.25">
      <c r="J26" t="s">
        <v>62</v>
      </c>
      <c r="K26" t="s">
        <v>57</v>
      </c>
      <c r="L26" s="1">
        <v>43724</v>
      </c>
    </row>
    <row r="27" spans="10:12" x14ac:dyDescent="0.25">
      <c r="J27" t="s">
        <v>63</v>
      </c>
      <c r="K27" t="s">
        <v>58</v>
      </c>
      <c r="L27" s="1">
        <v>43155</v>
      </c>
    </row>
    <row r="28" spans="10:12" x14ac:dyDescent="0.25">
      <c r="J28" t="s">
        <v>64</v>
      </c>
      <c r="K28" t="s">
        <v>59</v>
      </c>
      <c r="L28" s="1">
        <v>43153</v>
      </c>
    </row>
    <row r="29" spans="10:12" x14ac:dyDescent="0.25">
      <c r="J29" t="s">
        <v>70</v>
      </c>
      <c r="K29" t="s">
        <v>65</v>
      </c>
      <c r="L29" s="1">
        <v>43523</v>
      </c>
    </row>
    <row r="30" spans="10:12" x14ac:dyDescent="0.25">
      <c r="J30" t="s">
        <v>71</v>
      </c>
      <c r="K30" t="s">
        <v>66</v>
      </c>
      <c r="L30" s="1">
        <v>43621</v>
      </c>
    </row>
    <row r="31" spans="10:12" x14ac:dyDescent="0.25">
      <c r="J31" t="s">
        <v>72</v>
      </c>
      <c r="K31" t="s">
        <v>67</v>
      </c>
      <c r="L31" s="1">
        <v>43827</v>
      </c>
    </row>
    <row r="32" spans="10:12" x14ac:dyDescent="0.25">
      <c r="J32" t="s">
        <v>73</v>
      </c>
      <c r="K32" t="s">
        <v>68</v>
      </c>
      <c r="L32" s="1">
        <v>43097</v>
      </c>
    </row>
    <row r="33" spans="10:12" x14ac:dyDescent="0.25">
      <c r="J33" t="s">
        <v>74</v>
      </c>
      <c r="K33" t="s">
        <v>69</v>
      </c>
      <c r="L33" s="1">
        <v>42228</v>
      </c>
    </row>
    <row r="34" spans="10:12" x14ac:dyDescent="0.25">
      <c r="J34" t="s">
        <v>75</v>
      </c>
      <c r="K34" t="s">
        <v>76</v>
      </c>
      <c r="L34" s="1">
        <v>43003</v>
      </c>
    </row>
    <row r="35" spans="10:12" x14ac:dyDescent="0.25">
      <c r="J35" t="s">
        <v>80</v>
      </c>
      <c r="K35" t="s">
        <v>77</v>
      </c>
      <c r="L35" s="1">
        <v>43282</v>
      </c>
    </row>
    <row r="36" spans="10:12" x14ac:dyDescent="0.25">
      <c r="J36" t="s">
        <v>81</v>
      </c>
      <c r="K36" t="s">
        <v>78</v>
      </c>
      <c r="L36" s="1">
        <v>43932</v>
      </c>
    </row>
    <row r="37" spans="10:12" x14ac:dyDescent="0.25">
      <c r="J37" t="s">
        <v>82</v>
      </c>
      <c r="K37" t="s">
        <v>79</v>
      </c>
      <c r="L37" s="1">
        <v>43278</v>
      </c>
    </row>
    <row r="38" spans="10:12" x14ac:dyDescent="0.25">
      <c r="J38" t="s">
        <v>83</v>
      </c>
      <c r="K38" t="s">
        <v>84</v>
      </c>
      <c r="L38" s="1">
        <v>43427</v>
      </c>
    </row>
    <row r="39" spans="10:12" x14ac:dyDescent="0.25">
      <c r="J39" t="s">
        <v>89</v>
      </c>
      <c r="K39" t="s">
        <v>85</v>
      </c>
      <c r="L39" s="1">
        <v>43093</v>
      </c>
    </row>
    <row r="40" spans="10:12" x14ac:dyDescent="0.25">
      <c r="J40" t="s">
        <v>90</v>
      </c>
      <c r="K40" t="s">
        <v>86</v>
      </c>
      <c r="L40" s="1">
        <v>43995</v>
      </c>
    </row>
    <row r="41" spans="10:12" x14ac:dyDescent="0.25">
      <c r="J41" t="s">
        <v>91</v>
      </c>
      <c r="K41" t="s">
        <v>87</v>
      </c>
      <c r="L41" s="1">
        <v>43557</v>
      </c>
    </row>
    <row r="42" spans="10:12" x14ac:dyDescent="0.25">
      <c r="J42" t="s">
        <v>92</v>
      </c>
      <c r="K42" t="s">
        <v>88</v>
      </c>
      <c r="L42" s="1">
        <v>42660</v>
      </c>
    </row>
    <row r="43" spans="10:12" x14ac:dyDescent="0.25">
      <c r="J43" t="s">
        <v>93</v>
      </c>
      <c r="K43" t="s">
        <v>94</v>
      </c>
      <c r="L43" s="1">
        <v>43618</v>
      </c>
    </row>
    <row r="44" spans="10:12" x14ac:dyDescent="0.25">
      <c r="J44" t="s">
        <v>95</v>
      </c>
      <c r="K44" t="s">
        <v>96</v>
      </c>
      <c r="L44" s="1">
        <v>43758</v>
      </c>
    </row>
    <row r="45" spans="10:12" x14ac:dyDescent="0.25">
      <c r="J45" t="s">
        <v>97</v>
      </c>
      <c r="K45" t="s">
        <v>98</v>
      </c>
      <c r="L45" s="1">
        <v>42388</v>
      </c>
    </row>
    <row r="46" spans="10:12" x14ac:dyDescent="0.25">
      <c r="J46" t="s">
        <v>102</v>
      </c>
      <c r="K46" t="s">
        <v>99</v>
      </c>
      <c r="L46" s="1">
        <v>43488</v>
      </c>
    </row>
    <row r="47" spans="10:12" x14ac:dyDescent="0.25">
      <c r="J47" t="s">
        <v>103</v>
      </c>
      <c r="K47" t="s">
        <v>100</v>
      </c>
      <c r="L47" s="1">
        <v>42080</v>
      </c>
    </row>
    <row r="48" spans="10:12" x14ac:dyDescent="0.25">
      <c r="J48" t="s">
        <v>104</v>
      </c>
      <c r="K48" t="s">
        <v>101</v>
      </c>
      <c r="L48" s="1">
        <v>43296</v>
      </c>
    </row>
    <row r="49" spans="10:12" x14ac:dyDescent="0.25">
      <c r="J49" t="s">
        <v>105</v>
      </c>
      <c r="K49" t="s">
        <v>106</v>
      </c>
      <c r="L49" s="1">
        <v>43451</v>
      </c>
    </row>
    <row r="50" spans="10:12" x14ac:dyDescent="0.25">
      <c r="J50" t="s">
        <v>113</v>
      </c>
      <c r="K50" t="s">
        <v>107</v>
      </c>
      <c r="L50" s="1">
        <v>43912</v>
      </c>
    </row>
    <row r="51" spans="10:12" x14ac:dyDescent="0.25">
      <c r="J51" t="s">
        <v>114</v>
      </c>
      <c r="K51" t="s">
        <v>108</v>
      </c>
      <c r="L51" s="1">
        <v>42808</v>
      </c>
    </row>
    <row r="52" spans="10:12" x14ac:dyDescent="0.25">
      <c r="J52" t="s">
        <v>115</v>
      </c>
      <c r="K52" t="s">
        <v>109</v>
      </c>
      <c r="L52" s="1">
        <v>43357</v>
      </c>
    </row>
    <row r="53" spans="10:12" x14ac:dyDescent="0.25">
      <c r="J53" t="s">
        <v>116</v>
      </c>
      <c r="K53" t="s">
        <v>110</v>
      </c>
      <c r="L53" s="1">
        <v>42277</v>
      </c>
    </row>
    <row r="54" spans="10:12" x14ac:dyDescent="0.25">
      <c r="J54" t="s">
        <v>117</v>
      </c>
      <c r="K54" t="s">
        <v>111</v>
      </c>
      <c r="L54" s="1">
        <v>42729</v>
      </c>
    </row>
    <row r="55" spans="10:12" x14ac:dyDescent="0.25">
      <c r="J55" t="s">
        <v>118</v>
      </c>
      <c r="K55" t="s">
        <v>112</v>
      </c>
      <c r="L55" s="1">
        <v>43001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F1:G12"/>
  <sheetViews>
    <sheetView topLeftCell="F9" zoomScaleNormal="100" workbookViewId="0">
      <selection activeCell="H24" sqref="H24"/>
    </sheetView>
  </sheetViews>
  <sheetFormatPr defaultRowHeight="15" x14ac:dyDescent="0.25"/>
  <cols>
    <col min="1" max="5" width="0" hidden="1" customWidth="1"/>
    <col min="6" max="6" width="11.7109375" bestFit="1" customWidth="1"/>
    <col min="7" max="7" width="12.7109375" bestFit="1" customWidth="1"/>
    <col min="8" max="8" width="12.7109375" customWidth="1"/>
  </cols>
  <sheetData>
    <row r="1" spans="6:7" hidden="1" x14ac:dyDescent="0.25"/>
    <row r="2" spans="6:7" hidden="1" x14ac:dyDescent="0.25"/>
    <row r="3" spans="6:7" hidden="1" x14ac:dyDescent="0.25"/>
    <row r="4" spans="6:7" hidden="1" x14ac:dyDescent="0.25"/>
    <row r="5" spans="6:7" hidden="1" x14ac:dyDescent="0.25"/>
    <row r="6" spans="6:7" hidden="1" x14ac:dyDescent="0.25"/>
    <row r="7" spans="6:7" hidden="1" x14ac:dyDescent="0.25"/>
    <row r="8" spans="6:7" hidden="1" x14ac:dyDescent="0.25"/>
    <row r="9" spans="6:7" x14ac:dyDescent="0.25">
      <c r="F9" t="s">
        <v>125</v>
      </c>
      <c r="G9" t="s">
        <v>124</v>
      </c>
    </row>
    <row r="10" spans="6:7" x14ac:dyDescent="0.25">
      <c r="F10">
        <v>1</v>
      </c>
      <c r="G10" t="s">
        <v>119</v>
      </c>
    </row>
    <row r="11" spans="6:7" x14ac:dyDescent="0.25">
      <c r="F11">
        <v>2</v>
      </c>
      <c r="G11" t="s">
        <v>121</v>
      </c>
    </row>
    <row r="12" spans="6:7" x14ac:dyDescent="0.25">
      <c r="F12">
        <v>3</v>
      </c>
      <c r="G12" t="s">
        <v>122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F1:I14"/>
  <sheetViews>
    <sheetView topLeftCell="F7" zoomScale="190" zoomScaleNormal="190" workbookViewId="0">
      <selection activeCell="H19" sqref="H19"/>
    </sheetView>
  </sheetViews>
  <sheetFormatPr defaultRowHeight="15" x14ac:dyDescent="0.25"/>
  <cols>
    <col min="1" max="5" width="0" hidden="1" customWidth="1"/>
    <col min="6" max="6" width="8.85546875" bestFit="1" customWidth="1"/>
    <col min="7" max="7" width="9.42578125" style="4" bestFit="1" customWidth="1"/>
    <col min="8" max="8" width="10.7109375" style="4" bestFit="1" customWidth="1"/>
    <col min="9" max="9" width="10.7109375" style="4" customWidth="1"/>
  </cols>
  <sheetData>
    <row r="1" spans="6:9" hidden="1" x14ac:dyDescent="0.25"/>
    <row r="2" spans="6:9" hidden="1" x14ac:dyDescent="0.25"/>
    <row r="3" spans="6:9" hidden="1" x14ac:dyDescent="0.25"/>
    <row r="4" spans="6:9" hidden="1" x14ac:dyDescent="0.25"/>
    <row r="5" spans="6:9" hidden="1" x14ac:dyDescent="0.25"/>
    <row r="6" spans="6:9" hidden="1" x14ac:dyDescent="0.25"/>
    <row r="7" spans="6:9" x14ac:dyDescent="0.25">
      <c r="F7" s="5" t="s">
        <v>123</v>
      </c>
      <c r="G7" s="6" t="s">
        <v>120</v>
      </c>
      <c r="H7" s="6" t="s">
        <v>138</v>
      </c>
      <c r="I7" s="6"/>
    </row>
    <row r="8" spans="6:9" x14ac:dyDescent="0.25">
      <c r="F8" s="3" t="s">
        <v>129</v>
      </c>
      <c r="G8" s="7">
        <v>1</v>
      </c>
      <c r="H8" s="2">
        <v>214</v>
      </c>
      <c r="I8" s="2"/>
    </row>
    <row r="9" spans="6:9" x14ac:dyDescent="0.25">
      <c r="F9" s="3" t="s">
        <v>128</v>
      </c>
      <c r="G9" s="7">
        <v>3</v>
      </c>
      <c r="H9" s="2">
        <v>104</v>
      </c>
      <c r="I9" s="2"/>
    </row>
    <row r="10" spans="6:9" x14ac:dyDescent="0.25">
      <c r="F10" s="3" t="s">
        <v>127</v>
      </c>
      <c r="G10" s="7">
        <v>2</v>
      </c>
      <c r="H10" s="2">
        <v>132</v>
      </c>
      <c r="I10" s="2"/>
    </row>
    <row r="11" spans="6:9" x14ac:dyDescent="0.25">
      <c r="F11" s="3" t="s">
        <v>130</v>
      </c>
      <c r="G11" s="7">
        <v>1</v>
      </c>
      <c r="H11" s="2">
        <v>218</v>
      </c>
      <c r="I11" s="2"/>
    </row>
    <row r="12" spans="6:9" x14ac:dyDescent="0.25">
      <c r="F12" s="3" t="s">
        <v>131</v>
      </c>
      <c r="G12" s="7">
        <v>2</v>
      </c>
      <c r="H12" s="2">
        <v>116</v>
      </c>
      <c r="I12" s="2"/>
    </row>
    <row r="13" spans="6:9" x14ac:dyDescent="0.25">
      <c r="F13" s="3" t="s">
        <v>133</v>
      </c>
      <c r="G13" s="7">
        <v>1</v>
      </c>
      <c r="H13" s="2">
        <v>190</v>
      </c>
      <c r="I13" s="2"/>
    </row>
    <row r="14" spans="6:9" x14ac:dyDescent="0.25">
      <c r="F14" s="3" t="s">
        <v>132</v>
      </c>
      <c r="G14" s="7">
        <v>3</v>
      </c>
      <c r="H14" s="2">
        <v>109</v>
      </c>
      <c r="I14" s="2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I1:J35"/>
  <sheetViews>
    <sheetView topLeftCell="I13" workbookViewId="0">
      <selection activeCell="L19" sqref="L19"/>
    </sheetView>
  </sheetViews>
  <sheetFormatPr defaultRowHeight="15" x14ac:dyDescent="0.25"/>
  <cols>
    <col min="1" max="8" width="0" hidden="1" customWidth="1"/>
    <col min="9" max="9" width="17" bestFit="1" customWidth="1"/>
    <col min="10" max="10" width="10.7109375" bestFit="1" customWidth="1"/>
    <col min="17" max="17" width="9.140625" customWidth="1"/>
  </cols>
  <sheetData>
    <row r="1" spans="9:10" hidden="1" x14ac:dyDescent="0.25"/>
    <row r="2" spans="9:10" hidden="1" x14ac:dyDescent="0.25"/>
    <row r="3" spans="9:10" hidden="1" x14ac:dyDescent="0.25"/>
    <row r="4" spans="9:10" hidden="1" x14ac:dyDescent="0.25"/>
    <row r="5" spans="9:10" hidden="1" x14ac:dyDescent="0.25"/>
    <row r="6" spans="9:10" hidden="1" x14ac:dyDescent="0.25"/>
    <row r="7" spans="9:10" hidden="1" x14ac:dyDescent="0.25"/>
    <row r="8" spans="9:10" hidden="1" x14ac:dyDescent="0.25"/>
    <row r="9" spans="9:10" hidden="1" x14ac:dyDescent="0.25"/>
    <row r="10" spans="9:10" hidden="1" x14ac:dyDescent="0.25"/>
    <row r="11" spans="9:10" hidden="1" x14ac:dyDescent="0.25"/>
    <row r="12" spans="9:10" hidden="1" x14ac:dyDescent="0.25"/>
    <row r="13" spans="9:10" x14ac:dyDescent="0.25">
      <c r="I13" t="s">
        <v>137</v>
      </c>
      <c r="J13" t="s">
        <v>138</v>
      </c>
    </row>
    <row r="14" spans="9:10" x14ac:dyDescent="0.25">
      <c r="I14" t="s">
        <v>4</v>
      </c>
      <c r="J14" s="2">
        <v>4.22</v>
      </c>
    </row>
    <row r="15" spans="9:10" x14ac:dyDescent="0.25">
      <c r="I15" t="s">
        <v>5</v>
      </c>
      <c r="J15" s="2">
        <v>10.66</v>
      </c>
    </row>
    <row r="16" spans="9:10" x14ac:dyDescent="0.25">
      <c r="I16" t="s">
        <v>6</v>
      </c>
      <c r="J16" s="2">
        <v>9.65</v>
      </c>
    </row>
    <row r="17" spans="9:10" x14ac:dyDescent="0.25">
      <c r="I17" t="s">
        <v>7</v>
      </c>
      <c r="J17" s="2">
        <v>3.09</v>
      </c>
    </row>
    <row r="18" spans="9:10" x14ac:dyDescent="0.25">
      <c r="I18" t="s">
        <v>8</v>
      </c>
      <c r="J18" s="2">
        <v>1.07</v>
      </c>
    </row>
    <row r="19" spans="9:10" x14ac:dyDescent="0.25">
      <c r="I19" t="s">
        <v>9</v>
      </c>
      <c r="J19" s="2">
        <v>5.3</v>
      </c>
    </row>
    <row r="20" spans="9:10" x14ac:dyDescent="0.25">
      <c r="I20" t="s">
        <v>10</v>
      </c>
      <c r="J20" s="2">
        <v>5.68</v>
      </c>
    </row>
    <row r="21" spans="9:10" x14ac:dyDescent="0.25">
      <c r="I21" t="s">
        <v>11</v>
      </c>
      <c r="J21" s="2">
        <v>4.71</v>
      </c>
    </row>
    <row r="22" spans="9:10" x14ac:dyDescent="0.25">
      <c r="I22" t="s">
        <v>12</v>
      </c>
      <c r="J22" s="2">
        <v>2.13</v>
      </c>
    </row>
    <row r="23" spans="9:10" x14ac:dyDescent="0.25">
      <c r="I23" t="s">
        <v>13</v>
      </c>
      <c r="J23" s="2">
        <v>11.59</v>
      </c>
    </row>
    <row r="24" spans="9:10" x14ac:dyDescent="0.25">
      <c r="I24" t="s">
        <v>14</v>
      </c>
      <c r="J24" s="2">
        <v>10.45</v>
      </c>
    </row>
    <row r="25" spans="9:10" x14ac:dyDescent="0.25">
      <c r="I25" t="s">
        <v>15</v>
      </c>
      <c r="J25" s="2">
        <v>4.16</v>
      </c>
    </row>
    <row r="26" spans="9:10" x14ac:dyDescent="0.25">
      <c r="I26" t="s">
        <v>16</v>
      </c>
      <c r="J26" s="2">
        <v>6.85</v>
      </c>
    </row>
    <row r="27" spans="9:10" x14ac:dyDescent="0.25">
      <c r="I27" t="s">
        <v>17</v>
      </c>
      <c r="J27" s="2">
        <v>2.89</v>
      </c>
    </row>
    <row r="28" spans="9:10" x14ac:dyDescent="0.25">
      <c r="I28" t="s">
        <v>18</v>
      </c>
      <c r="J28" s="2">
        <v>3.22</v>
      </c>
    </row>
    <row r="29" spans="9:10" x14ac:dyDescent="0.25">
      <c r="I29" t="s">
        <v>19</v>
      </c>
      <c r="J29" s="2">
        <v>10.08</v>
      </c>
    </row>
    <row r="30" spans="9:10" x14ac:dyDescent="0.25">
      <c r="I30" t="s">
        <v>20</v>
      </c>
      <c r="J30" s="2">
        <v>3.23</v>
      </c>
    </row>
    <row r="31" spans="9:10" x14ac:dyDescent="0.25">
      <c r="I31" t="s">
        <v>21</v>
      </c>
      <c r="J31" s="2">
        <v>8.4</v>
      </c>
    </row>
    <row r="32" spans="9:10" x14ac:dyDescent="0.25">
      <c r="I32" t="s">
        <v>22</v>
      </c>
      <c r="J32" s="2">
        <v>5.21</v>
      </c>
    </row>
    <row r="33" spans="9:10" x14ac:dyDescent="0.25">
      <c r="I33" t="s">
        <v>23</v>
      </c>
      <c r="J33" s="2">
        <v>1.65</v>
      </c>
    </row>
    <row r="34" spans="9:10" x14ac:dyDescent="0.25">
      <c r="I34" t="s">
        <v>24</v>
      </c>
      <c r="J34" s="2">
        <v>4.42</v>
      </c>
    </row>
    <row r="35" spans="9:10" x14ac:dyDescent="0.25">
      <c r="J35" s="2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G1:I32"/>
  <sheetViews>
    <sheetView topLeftCell="G11" workbookViewId="0"/>
  </sheetViews>
  <sheetFormatPr defaultRowHeight="15" x14ac:dyDescent="0.25"/>
  <cols>
    <col min="1" max="6" width="0" hidden="1" customWidth="1"/>
    <col min="7" max="7" width="15.42578125" bestFit="1" customWidth="1"/>
    <col min="8" max="8" width="19.85546875" bestFit="1" customWidth="1"/>
    <col min="9" max="9" width="22.7109375" style="4" bestFit="1" customWidth="1"/>
  </cols>
  <sheetData>
    <row r="1" spans="7:9" hidden="1" x14ac:dyDescent="0.25"/>
    <row r="2" spans="7:9" hidden="1" x14ac:dyDescent="0.25"/>
    <row r="3" spans="7:9" hidden="1" x14ac:dyDescent="0.25"/>
    <row r="4" spans="7:9" hidden="1" x14ac:dyDescent="0.25"/>
    <row r="5" spans="7:9" hidden="1" x14ac:dyDescent="0.25"/>
    <row r="6" spans="7:9" hidden="1" x14ac:dyDescent="0.25"/>
    <row r="7" spans="7:9" hidden="1" x14ac:dyDescent="0.25"/>
    <row r="8" spans="7:9" hidden="1" x14ac:dyDescent="0.25"/>
    <row r="9" spans="7:9" hidden="1" x14ac:dyDescent="0.25"/>
    <row r="10" spans="7:9" hidden="1" x14ac:dyDescent="0.25"/>
    <row r="11" spans="7:9" x14ac:dyDescent="0.25">
      <c r="G11" t="s">
        <v>126</v>
      </c>
      <c r="H11" t="s">
        <v>135</v>
      </c>
      <c r="I11" s="4" t="s">
        <v>136</v>
      </c>
    </row>
    <row r="12" spans="7:9" x14ac:dyDescent="0.25">
      <c r="G12" t="s">
        <v>129</v>
      </c>
      <c r="H12" t="s">
        <v>4</v>
      </c>
      <c r="I12" s="4">
        <v>4</v>
      </c>
    </row>
    <row r="13" spans="7:9" x14ac:dyDescent="0.25">
      <c r="G13" t="s">
        <v>129</v>
      </c>
      <c r="H13" t="s">
        <v>5</v>
      </c>
      <c r="I13" s="4">
        <v>1</v>
      </c>
    </row>
    <row r="14" spans="7:9" x14ac:dyDescent="0.25">
      <c r="G14" t="s">
        <v>129</v>
      </c>
      <c r="H14" t="s">
        <v>6</v>
      </c>
      <c r="I14" s="4">
        <v>3</v>
      </c>
    </row>
    <row r="15" spans="7:9" x14ac:dyDescent="0.25">
      <c r="G15" t="s">
        <v>128</v>
      </c>
      <c r="H15" t="s">
        <v>7</v>
      </c>
      <c r="I15" s="4">
        <v>3</v>
      </c>
    </row>
    <row r="16" spans="7:9" x14ac:dyDescent="0.25">
      <c r="G16" t="s">
        <v>128</v>
      </c>
      <c r="H16" t="s">
        <v>8</v>
      </c>
      <c r="I16" s="4">
        <v>4</v>
      </c>
    </row>
    <row r="17" spans="7:9" x14ac:dyDescent="0.25">
      <c r="G17" t="s">
        <v>128</v>
      </c>
      <c r="H17" t="s">
        <v>9</v>
      </c>
      <c r="I17" s="4">
        <v>4</v>
      </c>
    </row>
    <row r="18" spans="7:9" x14ac:dyDescent="0.25">
      <c r="G18" t="s">
        <v>127</v>
      </c>
      <c r="H18" t="s">
        <v>10</v>
      </c>
      <c r="I18" s="4">
        <v>3</v>
      </c>
    </row>
    <row r="19" spans="7:9" x14ac:dyDescent="0.25">
      <c r="G19" t="s">
        <v>127</v>
      </c>
      <c r="H19" t="s">
        <v>11</v>
      </c>
      <c r="I19" s="4">
        <v>2</v>
      </c>
    </row>
    <row r="20" spans="7:9" x14ac:dyDescent="0.25">
      <c r="G20" t="s">
        <v>127</v>
      </c>
      <c r="H20" t="s">
        <v>12</v>
      </c>
      <c r="I20" s="4">
        <v>1</v>
      </c>
    </row>
    <row r="21" spans="7:9" x14ac:dyDescent="0.25">
      <c r="G21" t="s">
        <v>130</v>
      </c>
      <c r="H21" t="s">
        <v>13</v>
      </c>
      <c r="I21" s="4">
        <v>4</v>
      </c>
    </row>
    <row r="22" spans="7:9" x14ac:dyDescent="0.25">
      <c r="G22" t="s">
        <v>130</v>
      </c>
      <c r="H22" t="s">
        <v>14</v>
      </c>
      <c r="I22" s="4">
        <v>3</v>
      </c>
    </row>
    <row r="23" spans="7:9" x14ac:dyDescent="0.25">
      <c r="G23" t="s">
        <v>130</v>
      </c>
      <c r="H23" t="s">
        <v>15</v>
      </c>
      <c r="I23" s="4">
        <v>1</v>
      </c>
    </row>
    <row r="24" spans="7:9" x14ac:dyDescent="0.25">
      <c r="G24" t="s">
        <v>131</v>
      </c>
      <c r="H24" t="s">
        <v>16</v>
      </c>
      <c r="I24" s="4">
        <v>2</v>
      </c>
    </row>
    <row r="25" spans="7:9" x14ac:dyDescent="0.25">
      <c r="G25" t="s">
        <v>131</v>
      </c>
      <c r="H25" t="s">
        <v>17</v>
      </c>
      <c r="I25" s="4">
        <v>1</v>
      </c>
    </row>
    <row r="26" spans="7:9" x14ac:dyDescent="0.25">
      <c r="G26" t="s">
        <v>131</v>
      </c>
      <c r="H26" t="s">
        <v>18</v>
      </c>
      <c r="I26" s="4">
        <v>4</v>
      </c>
    </row>
    <row r="27" spans="7:9" x14ac:dyDescent="0.25">
      <c r="G27" t="s">
        <v>133</v>
      </c>
      <c r="H27" t="s">
        <v>19</v>
      </c>
      <c r="I27" s="4">
        <v>4</v>
      </c>
    </row>
    <row r="28" spans="7:9" x14ac:dyDescent="0.25">
      <c r="G28" t="s">
        <v>133</v>
      </c>
      <c r="H28" t="s">
        <v>20</v>
      </c>
      <c r="I28" s="4">
        <v>1</v>
      </c>
    </row>
    <row r="29" spans="7:9" x14ac:dyDescent="0.25">
      <c r="G29" t="s">
        <v>133</v>
      </c>
      <c r="H29" t="s">
        <v>21</v>
      </c>
      <c r="I29" s="4">
        <v>1</v>
      </c>
    </row>
    <row r="30" spans="7:9" x14ac:dyDescent="0.25">
      <c r="G30" t="s">
        <v>132</v>
      </c>
      <c r="H30" t="s">
        <v>22</v>
      </c>
      <c r="I30" s="4">
        <v>4</v>
      </c>
    </row>
    <row r="31" spans="7:9" x14ac:dyDescent="0.25">
      <c r="G31" t="s">
        <v>132</v>
      </c>
      <c r="H31" t="s">
        <v>23</v>
      </c>
      <c r="I31" s="4">
        <v>4</v>
      </c>
    </row>
    <row r="32" spans="7:9" x14ac:dyDescent="0.25">
      <c r="G32" t="s">
        <v>132</v>
      </c>
      <c r="H32" t="s">
        <v>24</v>
      </c>
      <c r="I32" s="4">
        <v>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E9145-4260-4ED0-8C9C-6A2FC7A4990F}">
  <sheetPr codeName="Sheet9"/>
  <dimension ref="A1:E1001"/>
  <sheetViews>
    <sheetView topLeftCell="A121" zoomScale="115" zoomScaleNormal="115" workbookViewId="0">
      <selection activeCell="E149" sqref="E149"/>
    </sheetView>
  </sheetViews>
  <sheetFormatPr defaultRowHeight="15" x14ac:dyDescent="0.25"/>
  <cols>
    <col min="1" max="1" width="8.42578125" bestFit="1" customWidth="1"/>
    <col min="2" max="2" width="11.28515625" bestFit="1" customWidth="1"/>
    <col min="3" max="3" width="11.85546875" bestFit="1" customWidth="1"/>
    <col min="4" max="4" width="13.5703125" bestFit="1" customWidth="1"/>
    <col min="5" max="5" width="12.5703125" bestFit="1" customWidth="1"/>
    <col min="6" max="11" width="9.140625" customWidth="1"/>
  </cols>
  <sheetData>
    <row r="1" spans="1:5" x14ac:dyDescent="0.25">
      <c r="A1" t="s">
        <v>134</v>
      </c>
      <c r="B1" t="s">
        <v>141</v>
      </c>
      <c r="C1" t="s">
        <v>142</v>
      </c>
      <c r="D1" t="s">
        <v>152</v>
      </c>
      <c r="E1" t="s">
        <v>144</v>
      </c>
    </row>
    <row r="2" spans="1:5" x14ac:dyDescent="0.25">
      <c r="A2" t="s">
        <v>90</v>
      </c>
      <c r="B2">
        <v>735</v>
      </c>
      <c r="C2" s="1">
        <v>44202</v>
      </c>
      <c r="D2">
        <v>1</v>
      </c>
      <c r="E2">
        <v>510</v>
      </c>
    </row>
    <row r="3" spans="1:5" x14ac:dyDescent="0.25">
      <c r="A3" t="s">
        <v>118</v>
      </c>
      <c r="B3">
        <v>637</v>
      </c>
      <c r="C3" s="1">
        <v>43830</v>
      </c>
      <c r="D3">
        <v>12</v>
      </c>
      <c r="E3">
        <v>565</v>
      </c>
    </row>
    <row r="4" spans="1:5" x14ac:dyDescent="0.25">
      <c r="A4" t="s">
        <v>62</v>
      </c>
      <c r="B4">
        <v>1050</v>
      </c>
      <c r="C4" s="1">
        <v>43945</v>
      </c>
      <c r="D4">
        <v>4</v>
      </c>
      <c r="E4">
        <v>222</v>
      </c>
    </row>
    <row r="5" spans="1:5" x14ac:dyDescent="0.25">
      <c r="A5" t="s">
        <v>52</v>
      </c>
      <c r="B5">
        <v>501</v>
      </c>
      <c r="C5" s="1">
        <v>43971</v>
      </c>
      <c r="D5">
        <v>5</v>
      </c>
      <c r="E5">
        <v>91</v>
      </c>
    </row>
    <row r="6" spans="1:5" x14ac:dyDescent="0.25">
      <c r="A6" t="s">
        <v>90</v>
      </c>
      <c r="B6">
        <v>554</v>
      </c>
      <c r="C6" s="1">
        <v>44319</v>
      </c>
      <c r="D6">
        <v>5</v>
      </c>
      <c r="E6">
        <v>600</v>
      </c>
    </row>
    <row r="7" spans="1:5" x14ac:dyDescent="0.25">
      <c r="A7" t="s">
        <v>116</v>
      </c>
      <c r="B7">
        <v>617</v>
      </c>
      <c r="C7" s="1">
        <v>44372</v>
      </c>
      <c r="D7">
        <v>6</v>
      </c>
      <c r="E7">
        <v>142</v>
      </c>
    </row>
    <row r="8" spans="1:5" x14ac:dyDescent="0.25">
      <c r="A8" t="s">
        <v>74</v>
      </c>
      <c r="B8">
        <v>228</v>
      </c>
      <c r="C8" s="1">
        <v>43342</v>
      </c>
      <c r="D8">
        <v>8</v>
      </c>
      <c r="E8">
        <v>141</v>
      </c>
    </row>
    <row r="9" spans="1:5" x14ac:dyDescent="0.25">
      <c r="A9" t="s">
        <v>92</v>
      </c>
      <c r="B9">
        <v>1362</v>
      </c>
      <c r="C9" s="1">
        <v>43138</v>
      </c>
      <c r="D9">
        <v>2</v>
      </c>
      <c r="E9">
        <v>238</v>
      </c>
    </row>
    <row r="10" spans="1:5" x14ac:dyDescent="0.25">
      <c r="A10" t="s">
        <v>44</v>
      </c>
      <c r="B10">
        <v>295</v>
      </c>
      <c r="C10" s="1">
        <v>42673</v>
      </c>
      <c r="D10">
        <v>10</v>
      </c>
      <c r="E10">
        <v>42</v>
      </c>
    </row>
    <row r="11" spans="1:5" x14ac:dyDescent="0.25">
      <c r="A11" t="s">
        <v>35</v>
      </c>
      <c r="B11">
        <v>885</v>
      </c>
      <c r="C11" s="1">
        <v>43951</v>
      </c>
      <c r="D11">
        <v>4</v>
      </c>
      <c r="E11">
        <v>551</v>
      </c>
    </row>
    <row r="12" spans="1:5" x14ac:dyDescent="0.25">
      <c r="A12" t="s">
        <v>46</v>
      </c>
      <c r="B12">
        <v>1961</v>
      </c>
      <c r="C12" s="1">
        <v>44302</v>
      </c>
      <c r="D12">
        <v>4</v>
      </c>
      <c r="E12">
        <v>367</v>
      </c>
    </row>
    <row r="13" spans="1:5" x14ac:dyDescent="0.25">
      <c r="A13" t="s">
        <v>31</v>
      </c>
      <c r="B13">
        <v>204</v>
      </c>
      <c r="C13" s="1">
        <v>42702</v>
      </c>
      <c r="D13">
        <v>11</v>
      </c>
      <c r="E13">
        <v>45</v>
      </c>
    </row>
    <row r="14" spans="1:5" x14ac:dyDescent="0.25">
      <c r="A14" t="s">
        <v>71</v>
      </c>
      <c r="B14">
        <v>1474</v>
      </c>
      <c r="C14" s="1">
        <v>43899</v>
      </c>
      <c r="D14">
        <v>3</v>
      </c>
      <c r="E14">
        <v>516</v>
      </c>
    </row>
    <row r="15" spans="1:5" x14ac:dyDescent="0.25">
      <c r="A15" t="s">
        <v>82</v>
      </c>
      <c r="B15">
        <v>355</v>
      </c>
      <c r="C15" s="1">
        <v>44077</v>
      </c>
      <c r="D15">
        <v>9</v>
      </c>
      <c r="E15">
        <v>301</v>
      </c>
    </row>
    <row r="16" spans="1:5" x14ac:dyDescent="0.25">
      <c r="A16" t="s">
        <v>89</v>
      </c>
      <c r="B16">
        <v>477</v>
      </c>
      <c r="C16" s="1">
        <v>43683</v>
      </c>
      <c r="D16">
        <v>8</v>
      </c>
      <c r="E16">
        <v>14</v>
      </c>
    </row>
    <row r="17" spans="1:5" x14ac:dyDescent="0.25">
      <c r="A17" t="s">
        <v>44</v>
      </c>
      <c r="B17">
        <v>490</v>
      </c>
      <c r="C17" s="1">
        <v>44167</v>
      </c>
      <c r="D17">
        <v>12</v>
      </c>
      <c r="E17">
        <v>509</v>
      </c>
    </row>
    <row r="18" spans="1:5" x14ac:dyDescent="0.25">
      <c r="A18" t="s">
        <v>44</v>
      </c>
      <c r="B18">
        <v>1835</v>
      </c>
      <c r="C18" s="1">
        <v>44293</v>
      </c>
      <c r="D18">
        <v>4</v>
      </c>
      <c r="E18">
        <v>374</v>
      </c>
    </row>
    <row r="19" spans="1:5" x14ac:dyDescent="0.25">
      <c r="A19" t="s">
        <v>70</v>
      </c>
      <c r="B19">
        <v>943</v>
      </c>
      <c r="C19" s="1">
        <v>44241</v>
      </c>
      <c r="D19">
        <v>2</v>
      </c>
      <c r="E19">
        <v>26</v>
      </c>
    </row>
    <row r="20" spans="1:5" x14ac:dyDescent="0.25">
      <c r="A20" t="s">
        <v>116</v>
      </c>
      <c r="B20">
        <v>1919</v>
      </c>
      <c r="C20" s="1">
        <v>43167</v>
      </c>
      <c r="D20">
        <v>3</v>
      </c>
      <c r="E20">
        <v>203</v>
      </c>
    </row>
    <row r="21" spans="1:5" x14ac:dyDescent="0.25">
      <c r="A21" t="s">
        <v>80</v>
      </c>
      <c r="B21">
        <v>1241</v>
      </c>
      <c r="C21" s="1">
        <v>44272</v>
      </c>
      <c r="D21">
        <v>3</v>
      </c>
      <c r="E21">
        <v>277</v>
      </c>
    </row>
    <row r="22" spans="1:5" x14ac:dyDescent="0.25">
      <c r="A22" t="s">
        <v>103</v>
      </c>
      <c r="B22">
        <v>568</v>
      </c>
      <c r="C22" s="1">
        <v>43731</v>
      </c>
      <c r="D22">
        <v>9</v>
      </c>
      <c r="E22">
        <v>11</v>
      </c>
    </row>
    <row r="23" spans="1:5" x14ac:dyDescent="0.25">
      <c r="A23" t="s">
        <v>93</v>
      </c>
      <c r="B23">
        <v>558</v>
      </c>
      <c r="C23" s="1">
        <v>44076</v>
      </c>
      <c r="D23">
        <v>9</v>
      </c>
      <c r="E23">
        <v>538</v>
      </c>
    </row>
    <row r="24" spans="1:5" x14ac:dyDescent="0.25">
      <c r="A24" t="s">
        <v>95</v>
      </c>
      <c r="B24">
        <v>709</v>
      </c>
      <c r="C24" s="1">
        <v>44439</v>
      </c>
      <c r="D24">
        <v>8</v>
      </c>
      <c r="E24">
        <v>226</v>
      </c>
    </row>
    <row r="25" spans="1:5" x14ac:dyDescent="0.25">
      <c r="A25" t="s">
        <v>44</v>
      </c>
      <c r="B25">
        <v>689</v>
      </c>
      <c r="C25" s="1">
        <v>42930</v>
      </c>
      <c r="D25">
        <v>7</v>
      </c>
      <c r="E25">
        <v>317</v>
      </c>
    </row>
    <row r="26" spans="1:5" x14ac:dyDescent="0.25">
      <c r="A26" t="s">
        <v>34</v>
      </c>
      <c r="B26">
        <v>1661</v>
      </c>
      <c r="C26" s="1">
        <v>43910</v>
      </c>
      <c r="D26">
        <v>3</v>
      </c>
      <c r="E26">
        <v>291</v>
      </c>
    </row>
    <row r="27" spans="1:5" x14ac:dyDescent="0.25">
      <c r="A27" t="s">
        <v>62</v>
      </c>
      <c r="B27">
        <v>299</v>
      </c>
      <c r="C27" s="1">
        <v>44169</v>
      </c>
      <c r="D27">
        <v>12</v>
      </c>
      <c r="E27">
        <v>312</v>
      </c>
    </row>
    <row r="28" spans="1:5" x14ac:dyDescent="0.25">
      <c r="A28" t="s">
        <v>93</v>
      </c>
      <c r="B28">
        <v>785</v>
      </c>
      <c r="C28" s="1">
        <v>44006</v>
      </c>
      <c r="D28">
        <v>6</v>
      </c>
      <c r="E28">
        <v>239</v>
      </c>
    </row>
    <row r="29" spans="1:5" x14ac:dyDescent="0.25">
      <c r="A29" t="s">
        <v>53</v>
      </c>
      <c r="B29">
        <v>1989</v>
      </c>
      <c r="C29" s="1">
        <v>43177</v>
      </c>
      <c r="D29">
        <v>3</v>
      </c>
      <c r="E29">
        <v>193</v>
      </c>
    </row>
    <row r="30" spans="1:5" x14ac:dyDescent="0.25">
      <c r="A30" t="s">
        <v>63</v>
      </c>
      <c r="B30">
        <v>297</v>
      </c>
      <c r="C30" s="1">
        <v>43458</v>
      </c>
      <c r="D30">
        <v>12</v>
      </c>
      <c r="E30">
        <v>90</v>
      </c>
    </row>
    <row r="31" spans="1:5" x14ac:dyDescent="0.25">
      <c r="A31" t="s">
        <v>71</v>
      </c>
      <c r="B31">
        <v>593</v>
      </c>
      <c r="C31" s="1">
        <v>44151</v>
      </c>
      <c r="D31">
        <v>11</v>
      </c>
      <c r="E31">
        <v>90</v>
      </c>
    </row>
    <row r="32" spans="1:5" x14ac:dyDescent="0.25">
      <c r="A32" t="s">
        <v>114</v>
      </c>
      <c r="B32">
        <v>331</v>
      </c>
      <c r="C32" s="1">
        <v>44184</v>
      </c>
      <c r="D32">
        <v>12</v>
      </c>
      <c r="E32">
        <v>132</v>
      </c>
    </row>
    <row r="33" spans="1:5" x14ac:dyDescent="0.25">
      <c r="A33" t="s">
        <v>45</v>
      </c>
      <c r="B33">
        <v>1375</v>
      </c>
      <c r="C33" s="1">
        <v>43581</v>
      </c>
      <c r="D33">
        <v>4</v>
      </c>
      <c r="E33">
        <v>459</v>
      </c>
    </row>
    <row r="34" spans="1:5" x14ac:dyDescent="0.25">
      <c r="A34" t="s">
        <v>114</v>
      </c>
      <c r="B34">
        <v>350</v>
      </c>
      <c r="C34" s="1">
        <v>43699</v>
      </c>
      <c r="D34">
        <v>8</v>
      </c>
      <c r="E34">
        <v>233</v>
      </c>
    </row>
    <row r="35" spans="1:5" x14ac:dyDescent="0.25">
      <c r="A35" t="s">
        <v>53</v>
      </c>
      <c r="B35">
        <v>668</v>
      </c>
      <c r="C35" s="1">
        <v>43151</v>
      </c>
      <c r="D35">
        <v>2</v>
      </c>
      <c r="E35">
        <v>492</v>
      </c>
    </row>
    <row r="36" spans="1:5" x14ac:dyDescent="0.25">
      <c r="A36" t="s">
        <v>44</v>
      </c>
      <c r="B36">
        <v>465</v>
      </c>
      <c r="C36" s="1">
        <v>42736</v>
      </c>
      <c r="D36">
        <v>1</v>
      </c>
      <c r="E36">
        <v>74</v>
      </c>
    </row>
    <row r="37" spans="1:5" x14ac:dyDescent="0.25">
      <c r="A37" t="s">
        <v>115</v>
      </c>
      <c r="B37">
        <v>714</v>
      </c>
      <c r="C37" s="1">
        <v>44363</v>
      </c>
      <c r="D37">
        <v>6</v>
      </c>
      <c r="E37">
        <v>424</v>
      </c>
    </row>
    <row r="38" spans="1:5" x14ac:dyDescent="0.25">
      <c r="A38" t="s">
        <v>62</v>
      </c>
      <c r="B38">
        <v>299</v>
      </c>
      <c r="C38" s="1">
        <v>44349</v>
      </c>
      <c r="D38">
        <v>6</v>
      </c>
      <c r="E38">
        <v>399</v>
      </c>
    </row>
    <row r="39" spans="1:5" x14ac:dyDescent="0.25">
      <c r="A39" t="s">
        <v>64</v>
      </c>
      <c r="B39">
        <v>212</v>
      </c>
      <c r="C39" s="1">
        <v>44151</v>
      </c>
      <c r="D39">
        <v>11</v>
      </c>
      <c r="E39">
        <v>114</v>
      </c>
    </row>
    <row r="40" spans="1:5" x14ac:dyDescent="0.25">
      <c r="A40" t="s">
        <v>82</v>
      </c>
      <c r="B40">
        <v>260</v>
      </c>
      <c r="C40" s="1">
        <v>43363</v>
      </c>
      <c r="D40">
        <v>9</v>
      </c>
      <c r="E40">
        <v>592</v>
      </c>
    </row>
    <row r="41" spans="1:5" x14ac:dyDescent="0.25">
      <c r="A41" t="s">
        <v>95</v>
      </c>
      <c r="B41">
        <v>295</v>
      </c>
      <c r="C41" s="1">
        <v>44163</v>
      </c>
      <c r="D41">
        <v>11</v>
      </c>
      <c r="E41">
        <v>5</v>
      </c>
    </row>
    <row r="42" spans="1:5" x14ac:dyDescent="0.25">
      <c r="A42" t="s">
        <v>118</v>
      </c>
      <c r="B42">
        <v>237</v>
      </c>
      <c r="C42" s="1">
        <v>43852</v>
      </c>
      <c r="D42">
        <v>1</v>
      </c>
      <c r="E42">
        <v>117</v>
      </c>
    </row>
    <row r="43" spans="1:5" x14ac:dyDescent="0.25">
      <c r="A43" t="s">
        <v>104</v>
      </c>
      <c r="B43">
        <v>650</v>
      </c>
      <c r="C43" s="1">
        <v>43919</v>
      </c>
      <c r="D43">
        <v>3</v>
      </c>
      <c r="E43">
        <v>486</v>
      </c>
    </row>
    <row r="44" spans="1:5" x14ac:dyDescent="0.25">
      <c r="A44" t="s">
        <v>60</v>
      </c>
      <c r="B44">
        <v>278</v>
      </c>
      <c r="C44" s="1">
        <v>43624</v>
      </c>
      <c r="D44">
        <v>6</v>
      </c>
      <c r="E44">
        <v>68</v>
      </c>
    </row>
    <row r="45" spans="1:5" x14ac:dyDescent="0.25">
      <c r="A45" t="s">
        <v>51</v>
      </c>
      <c r="B45">
        <v>236</v>
      </c>
      <c r="C45" s="1">
        <v>43955</v>
      </c>
      <c r="D45">
        <v>5</v>
      </c>
      <c r="E45">
        <v>77</v>
      </c>
    </row>
    <row r="46" spans="1:5" x14ac:dyDescent="0.25">
      <c r="A46" t="s">
        <v>72</v>
      </c>
      <c r="B46">
        <v>1263</v>
      </c>
      <c r="C46" s="1">
        <v>44314</v>
      </c>
      <c r="D46">
        <v>4</v>
      </c>
      <c r="E46">
        <v>374</v>
      </c>
    </row>
    <row r="47" spans="1:5" x14ac:dyDescent="0.25">
      <c r="A47" t="s">
        <v>35</v>
      </c>
      <c r="B47">
        <v>293</v>
      </c>
      <c r="C47" s="1">
        <v>43360</v>
      </c>
      <c r="D47">
        <v>9</v>
      </c>
      <c r="E47">
        <v>522</v>
      </c>
    </row>
    <row r="48" spans="1:5" x14ac:dyDescent="0.25">
      <c r="A48" t="s">
        <v>53</v>
      </c>
      <c r="B48">
        <v>1135</v>
      </c>
      <c r="C48" s="1">
        <v>43569</v>
      </c>
      <c r="D48">
        <v>4</v>
      </c>
      <c r="E48">
        <v>532</v>
      </c>
    </row>
    <row r="49" spans="1:5" x14ac:dyDescent="0.25">
      <c r="A49" t="s">
        <v>64</v>
      </c>
      <c r="B49">
        <v>670</v>
      </c>
      <c r="C49" s="1">
        <v>44063</v>
      </c>
      <c r="D49">
        <v>8</v>
      </c>
      <c r="E49">
        <v>550</v>
      </c>
    </row>
    <row r="50" spans="1:5" x14ac:dyDescent="0.25">
      <c r="A50" t="s">
        <v>116</v>
      </c>
      <c r="B50">
        <v>214</v>
      </c>
      <c r="C50" s="1">
        <v>42529</v>
      </c>
      <c r="D50">
        <v>6</v>
      </c>
      <c r="E50">
        <v>96</v>
      </c>
    </row>
    <row r="51" spans="1:5" x14ac:dyDescent="0.25">
      <c r="A51" t="s">
        <v>91</v>
      </c>
      <c r="B51">
        <v>615</v>
      </c>
      <c r="C51" s="1">
        <v>43975</v>
      </c>
      <c r="D51">
        <v>5</v>
      </c>
      <c r="E51">
        <v>352</v>
      </c>
    </row>
    <row r="52" spans="1:5" x14ac:dyDescent="0.25">
      <c r="A52" t="s">
        <v>74</v>
      </c>
      <c r="B52">
        <v>197</v>
      </c>
      <c r="C52" s="1">
        <v>42521</v>
      </c>
      <c r="D52">
        <v>5</v>
      </c>
      <c r="E52">
        <v>217</v>
      </c>
    </row>
    <row r="53" spans="1:5" x14ac:dyDescent="0.25">
      <c r="A53" t="s">
        <v>92</v>
      </c>
      <c r="B53">
        <v>446</v>
      </c>
      <c r="C53" s="1">
        <v>43297</v>
      </c>
      <c r="D53">
        <v>7</v>
      </c>
      <c r="E53">
        <v>104</v>
      </c>
    </row>
    <row r="54" spans="1:5" x14ac:dyDescent="0.25">
      <c r="A54" t="s">
        <v>31</v>
      </c>
      <c r="B54">
        <v>638</v>
      </c>
      <c r="C54" s="1">
        <v>43404</v>
      </c>
      <c r="D54">
        <v>10</v>
      </c>
      <c r="E54">
        <v>302</v>
      </c>
    </row>
    <row r="55" spans="1:5" x14ac:dyDescent="0.25">
      <c r="A55" t="s">
        <v>43</v>
      </c>
      <c r="B55">
        <v>849</v>
      </c>
      <c r="C55" s="1">
        <v>43522</v>
      </c>
      <c r="D55">
        <v>2</v>
      </c>
      <c r="E55">
        <v>32</v>
      </c>
    </row>
    <row r="56" spans="1:5" x14ac:dyDescent="0.25">
      <c r="A56" t="s">
        <v>95</v>
      </c>
      <c r="B56">
        <v>175</v>
      </c>
      <c r="C56" s="1">
        <v>44188</v>
      </c>
      <c r="D56">
        <v>12</v>
      </c>
      <c r="E56">
        <v>559</v>
      </c>
    </row>
    <row r="57" spans="1:5" x14ac:dyDescent="0.25">
      <c r="A57" t="s">
        <v>92</v>
      </c>
      <c r="B57">
        <v>724</v>
      </c>
      <c r="C57" s="1">
        <v>44287</v>
      </c>
      <c r="D57">
        <v>4</v>
      </c>
      <c r="E57">
        <v>281</v>
      </c>
    </row>
    <row r="58" spans="1:5" x14ac:dyDescent="0.25">
      <c r="A58" t="s">
        <v>34</v>
      </c>
      <c r="B58">
        <v>330</v>
      </c>
      <c r="C58" s="1">
        <v>44331</v>
      </c>
      <c r="D58">
        <v>5</v>
      </c>
      <c r="E58">
        <v>220</v>
      </c>
    </row>
    <row r="59" spans="1:5" x14ac:dyDescent="0.25">
      <c r="A59" t="s">
        <v>42</v>
      </c>
      <c r="B59">
        <v>542</v>
      </c>
      <c r="C59" s="1">
        <v>44424</v>
      </c>
      <c r="D59">
        <v>8</v>
      </c>
      <c r="E59">
        <v>233</v>
      </c>
    </row>
    <row r="60" spans="1:5" x14ac:dyDescent="0.25">
      <c r="A60" t="s">
        <v>115</v>
      </c>
      <c r="B60">
        <v>137</v>
      </c>
      <c r="C60" s="1">
        <v>43854</v>
      </c>
      <c r="D60">
        <v>1</v>
      </c>
      <c r="E60">
        <v>539</v>
      </c>
    </row>
    <row r="61" spans="1:5" x14ac:dyDescent="0.25">
      <c r="A61" t="s">
        <v>60</v>
      </c>
      <c r="B61">
        <v>459</v>
      </c>
      <c r="C61" s="1">
        <v>43785</v>
      </c>
      <c r="D61">
        <v>11</v>
      </c>
      <c r="E61">
        <v>337</v>
      </c>
    </row>
    <row r="62" spans="1:5" x14ac:dyDescent="0.25">
      <c r="A62" t="s">
        <v>95</v>
      </c>
      <c r="B62">
        <v>1165</v>
      </c>
      <c r="C62" s="1">
        <v>44277</v>
      </c>
      <c r="D62">
        <v>3</v>
      </c>
      <c r="E62">
        <v>587</v>
      </c>
    </row>
    <row r="63" spans="1:5" x14ac:dyDescent="0.25">
      <c r="A63" t="s">
        <v>34</v>
      </c>
      <c r="B63">
        <v>254</v>
      </c>
      <c r="C63" s="1">
        <v>44080</v>
      </c>
      <c r="D63">
        <v>9</v>
      </c>
      <c r="E63">
        <v>573</v>
      </c>
    </row>
    <row r="64" spans="1:5" x14ac:dyDescent="0.25">
      <c r="A64" t="s">
        <v>115</v>
      </c>
      <c r="B64">
        <v>756</v>
      </c>
      <c r="C64" s="1">
        <v>44419</v>
      </c>
      <c r="D64">
        <v>8</v>
      </c>
      <c r="E64">
        <v>148</v>
      </c>
    </row>
    <row r="65" spans="1:5" x14ac:dyDescent="0.25">
      <c r="A65" t="s">
        <v>31</v>
      </c>
      <c r="B65">
        <v>1211</v>
      </c>
      <c r="C65" s="1">
        <v>44251</v>
      </c>
      <c r="D65">
        <v>2</v>
      </c>
      <c r="E65">
        <v>562</v>
      </c>
    </row>
    <row r="66" spans="1:5" x14ac:dyDescent="0.25">
      <c r="A66" t="s">
        <v>33</v>
      </c>
      <c r="B66">
        <v>169</v>
      </c>
      <c r="C66" s="1">
        <v>44370</v>
      </c>
      <c r="D66">
        <v>6</v>
      </c>
      <c r="E66">
        <v>70</v>
      </c>
    </row>
    <row r="67" spans="1:5" x14ac:dyDescent="0.25">
      <c r="A67" t="s">
        <v>71</v>
      </c>
      <c r="B67">
        <v>505</v>
      </c>
      <c r="C67" s="1">
        <v>43693</v>
      </c>
      <c r="D67">
        <v>8</v>
      </c>
      <c r="E67">
        <v>190</v>
      </c>
    </row>
    <row r="68" spans="1:5" x14ac:dyDescent="0.25">
      <c r="A68" t="s">
        <v>115</v>
      </c>
      <c r="B68">
        <v>1528</v>
      </c>
      <c r="C68" s="1">
        <v>43864</v>
      </c>
      <c r="D68">
        <v>2</v>
      </c>
      <c r="E68">
        <v>130</v>
      </c>
    </row>
    <row r="69" spans="1:5" x14ac:dyDescent="0.25">
      <c r="A69" t="s">
        <v>46</v>
      </c>
      <c r="B69">
        <v>171</v>
      </c>
      <c r="C69" s="1">
        <v>44154</v>
      </c>
      <c r="D69">
        <v>11</v>
      </c>
      <c r="E69">
        <v>421</v>
      </c>
    </row>
    <row r="70" spans="1:5" x14ac:dyDescent="0.25">
      <c r="A70" t="s">
        <v>35</v>
      </c>
      <c r="B70">
        <v>1449</v>
      </c>
      <c r="C70" s="1">
        <v>43199</v>
      </c>
      <c r="D70">
        <v>4</v>
      </c>
      <c r="E70">
        <v>502</v>
      </c>
    </row>
    <row r="71" spans="1:5" x14ac:dyDescent="0.25">
      <c r="A71" t="s">
        <v>35</v>
      </c>
      <c r="B71">
        <v>1897</v>
      </c>
      <c r="C71" s="1">
        <v>42793</v>
      </c>
      <c r="D71">
        <v>2</v>
      </c>
      <c r="E71">
        <v>177</v>
      </c>
    </row>
    <row r="72" spans="1:5" x14ac:dyDescent="0.25">
      <c r="A72" t="s">
        <v>34</v>
      </c>
      <c r="B72">
        <v>193</v>
      </c>
      <c r="C72" s="1">
        <v>43792</v>
      </c>
      <c r="D72">
        <v>11</v>
      </c>
      <c r="E72">
        <v>562</v>
      </c>
    </row>
    <row r="73" spans="1:5" x14ac:dyDescent="0.25">
      <c r="A73" t="s">
        <v>41</v>
      </c>
      <c r="B73">
        <v>725</v>
      </c>
      <c r="C73" s="1">
        <v>43670</v>
      </c>
      <c r="D73">
        <v>7</v>
      </c>
      <c r="E73">
        <v>398</v>
      </c>
    </row>
    <row r="74" spans="1:5" x14ac:dyDescent="0.25">
      <c r="A74" t="s">
        <v>80</v>
      </c>
      <c r="B74">
        <v>615</v>
      </c>
      <c r="C74" s="1">
        <v>44451</v>
      </c>
      <c r="D74">
        <v>9</v>
      </c>
      <c r="E74">
        <v>390</v>
      </c>
    </row>
    <row r="75" spans="1:5" x14ac:dyDescent="0.25">
      <c r="A75" t="s">
        <v>43</v>
      </c>
      <c r="B75">
        <v>1079</v>
      </c>
      <c r="C75" s="1">
        <v>43909</v>
      </c>
      <c r="D75">
        <v>3</v>
      </c>
      <c r="E75">
        <v>469</v>
      </c>
    </row>
    <row r="76" spans="1:5" x14ac:dyDescent="0.25">
      <c r="A76" t="s">
        <v>105</v>
      </c>
      <c r="B76">
        <v>682</v>
      </c>
      <c r="C76" s="1">
        <v>44321</v>
      </c>
      <c r="D76">
        <v>5</v>
      </c>
      <c r="E76">
        <v>237</v>
      </c>
    </row>
    <row r="77" spans="1:5" x14ac:dyDescent="0.25">
      <c r="A77" t="s">
        <v>102</v>
      </c>
      <c r="B77">
        <v>443</v>
      </c>
      <c r="C77" s="1">
        <v>43992</v>
      </c>
      <c r="D77">
        <v>6</v>
      </c>
      <c r="E77">
        <v>339</v>
      </c>
    </row>
    <row r="78" spans="1:5" x14ac:dyDescent="0.25">
      <c r="A78" t="s">
        <v>52</v>
      </c>
      <c r="B78">
        <v>693</v>
      </c>
      <c r="C78" s="1">
        <v>43961</v>
      </c>
      <c r="D78">
        <v>5</v>
      </c>
      <c r="E78">
        <v>166</v>
      </c>
    </row>
    <row r="79" spans="1:5" x14ac:dyDescent="0.25">
      <c r="A79" t="s">
        <v>32</v>
      </c>
      <c r="B79">
        <v>718</v>
      </c>
      <c r="C79" s="1">
        <v>44110</v>
      </c>
      <c r="D79">
        <v>10</v>
      </c>
      <c r="E79">
        <v>400</v>
      </c>
    </row>
    <row r="80" spans="1:5" x14ac:dyDescent="0.25">
      <c r="A80" t="s">
        <v>31</v>
      </c>
      <c r="B80">
        <v>418</v>
      </c>
      <c r="C80" s="1">
        <v>43355</v>
      </c>
      <c r="D80">
        <v>9</v>
      </c>
      <c r="E80">
        <v>49</v>
      </c>
    </row>
    <row r="81" spans="1:5" x14ac:dyDescent="0.25">
      <c r="A81" t="s">
        <v>46</v>
      </c>
      <c r="B81">
        <v>681</v>
      </c>
      <c r="C81" s="1">
        <v>43963</v>
      </c>
      <c r="D81">
        <v>5</v>
      </c>
      <c r="E81">
        <v>182</v>
      </c>
    </row>
    <row r="82" spans="1:5" x14ac:dyDescent="0.25">
      <c r="A82" t="s">
        <v>47</v>
      </c>
      <c r="B82">
        <v>632</v>
      </c>
      <c r="C82" s="1">
        <v>44363</v>
      </c>
      <c r="D82">
        <v>6</v>
      </c>
      <c r="E82">
        <v>382</v>
      </c>
    </row>
    <row r="83" spans="1:5" x14ac:dyDescent="0.25">
      <c r="A83" t="s">
        <v>81</v>
      </c>
      <c r="B83">
        <v>758</v>
      </c>
      <c r="C83" s="1">
        <v>44043</v>
      </c>
      <c r="D83">
        <v>7</v>
      </c>
      <c r="E83">
        <v>582</v>
      </c>
    </row>
    <row r="84" spans="1:5" x14ac:dyDescent="0.25">
      <c r="A84" t="s">
        <v>102</v>
      </c>
      <c r="B84">
        <v>191</v>
      </c>
      <c r="C84" s="1">
        <v>44070</v>
      </c>
      <c r="D84">
        <v>8</v>
      </c>
      <c r="E84">
        <v>306</v>
      </c>
    </row>
    <row r="85" spans="1:5" x14ac:dyDescent="0.25">
      <c r="A85" t="s">
        <v>60</v>
      </c>
      <c r="B85">
        <v>169</v>
      </c>
      <c r="C85" s="1">
        <v>44403</v>
      </c>
      <c r="D85">
        <v>7</v>
      </c>
      <c r="E85">
        <v>593</v>
      </c>
    </row>
    <row r="86" spans="1:5" x14ac:dyDescent="0.25">
      <c r="A86" t="s">
        <v>118</v>
      </c>
      <c r="B86">
        <v>556</v>
      </c>
      <c r="C86" s="1">
        <v>44444</v>
      </c>
      <c r="D86">
        <v>9</v>
      </c>
      <c r="E86">
        <v>106</v>
      </c>
    </row>
    <row r="87" spans="1:5" x14ac:dyDescent="0.25">
      <c r="A87" t="s">
        <v>113</v>
      </c>
      <c r="B87">
        <v>341</v>
      </c>
      <c r="C87" s="1">
        <v>44167</v>
      </c>
      <c r="D87">
        <v>12</v>
      </c>
      <c r="E87">
        <v>592</v>
      </c>
    </row>
    <row r="88" spans="1:5" x14ac:dyDescent="0.25">
      <c r="A88" t="s">
        <v>34</v>
      </c>
      <c r="B88">
        <v>439</v>
      </c>
      <c r="C88" s="1">
        <v>44013</v>
      </c>
      <c r="D88">
        <v>7</v>
      </c>
      <c r="E88">
        <v>53</v>
      </c>
    </row>
    <row r="89" spans="1:5" x14ac:dyDescent="0.25">
      <c r="A89" t="s">
        <v>89</v>
      </c>
      <c r="B89">
        <v>1177</v>
      </c>
      <c r="C89" s="1">
        <v>43581</v>
      </c>
      <c r="D89">
        <v>4</v>
      </c>
      <c r="E89">
        <v>60</v>
      </c>
    </row>
    <row r="90" spans="1:5" x14ac:dyDescent="0.25">
      <c r="A90" t="s">
        <v>93</v>
      </c>
      <c r="B90">
        <v>430</v>
      </c>
      <c r="C90" s="1">
        <v>44321</v>
      </c>
      <c r="D90">
        <v>5</v>
      </c>
      <c r="E90">
        <v>26</v>
      </c>
    </row>
    <row r="91" spans="1:5" x14ac:dyDescent="0.25">
      <c r="A91" t="s">
        <v>34</v>
      </c>
      <c r="B91">
        <v>111</v>
      </c>
      <c r="C91" s="1">
        <v>44321</v>
      </c>
      <c r="D91">
        <v>5</v>
      </c>
      <c r="E91">
        <v>356</v>
      </c>
    </row>
    <row r="92" spans="1:5" x14ac:dyDescent="0.25">
      <c r="A92" t="s">
        <v>52</v>
      </c>
      <c r="B92">
        <v>663</v>
      </c>
      <c r="C92" s="1">
        <v>44226</v>
      </c>
      <c r="D92">
        <v>1</v>
      </c>
      <c r="E92">
        <v>44</v>
      </c>
    </row>
    <row r="93" spans="1:5" x14ac:dyDescent="0.25">
      <c r="A93" t="s">
        <v>80</v>
      </c>
      <c r="B93">
        <v>681</v>
      </c>
      <c r="C93" s="1">
        <v>44427</v>
      </c>
      <c r="D93">
        <v>8</v>
      </c>
      <c r="E93">
        <v>45</v>
      </c>
    </row>
    <row r="94" spans="1:5" x14ac:dyDescent="0.25">
      <c r="A94" t="s">
        <v>73</v>
      </c>
      <c r="B94">
        <v>1627</v>
      </c>
      <c r="C94" s="1">
        <v>43217</v>
      </c>
      <c r="D94">
        <v>4</v>
      </c>
      <c r="E94">
        <v>37</v>
      </c>
    </row>
    <row r="95" spans="1:5" x14ac:dyDescent="0.25">
      <c r="A95" t="s">
        <v>115</v>
      </c>
      <c r="B95">
        <v>781</v>
      </c>
      <c r="C95" s="1">
        <v>44012</v>
      </c>
      <c r="D95">
        <v>6</v>
      </c>
      <c r="E95">
        <v>283</v>
      </c>
    </row>
    <row r="96" spans="1:5" x14ac:dyDescent="0.25">
      <c r="A96" t="s">
        <v>52</v>
      </c>
      <c r="B96">
        <v>439</v>
      </c>
      <c r="C96" s="1">
        <v>44091</v>
      </c>
      <c r="D96">
        <v>9</v>
      </c>
      <c r="E96">
        <v>337</v>
      </c>
    </row>
    <row r="97" spans="1:5" x14ac:dyDescent="0.25">
      <c r="A97" t="s">
        <v>47</v>
      </c>
      <c r="B97">
        <v>508</v>
      </c>
      <c r="C97" s="1">
        <v>43449</v>
      </c>
      <c r="D97">
        <v>12</v>
      </c>
      <c r="E97">
        <v>70</v>
      </c>
    </row>
    <row r="98" spans="1:5" x14ac:dyDescent="0.25">
      <c r="A98" t="s">
        <v>74</v>
      </c>
      <c r="B98">
        <v>1737</v>
      </c>
      <c r="C98" s="1">
        <v>44308</v>
      </c>
      <c r="D98">
        <v>4</v>
      </c>
      <c r="E98">
        <v>398</v>
      </c>
    </row>
    <row r="99" spans="1:5" x14ac:dyDescent="0.25">
      <c r="A99" t="s">
        <v>72</v>
      </c>
      <c r="B99">
        <v>494</v>
      </c>
      <c r="C99" s="1">
        <v>44440</v>
      </c>
      <c r="D99">
        <v>9</v>
      </c>
      <c r="E99">
        <v>74</v>
      </c>
    </row>
    <row r="100" spans="1:5" x14ac:dyDescent="0.25">
      <c r="A100" t="s">
        <v>44</v>
      </c>
      <c r="B100">
        <v>1686</v>
      </c>
      <c r="C100" s="1">
        <v>43180</v>
      </c>
      <c r="D100">
        <v>3</v>
      </c>
      <c r="E100">
        <v>384</v>
      </c>
    </row>
    <row r="101" spans="1:5" x14ac:dyDescent="0.25">
      <c r="A101" t="s">
        <v>115</v>
      </c>
      <c r="B101">
        <v>332</v>
      </c>
      <c r="C101" s="1">
        <v>44187</v>
      </c>
      <c r="D101">
        <v>12</v>
      </c>
      <c r="E101">
        <v>74</v>
      </c>
    </row>
    <row r="102" spans="1:5" x14ac:dyDescent="0.25">
      <c r="A102" t="s">
        <v>34</v>
      </c>
      <c r="B102">
        <v>414</v>
      </c>
      <c r="C102" s="1">
        <v>44437</v>
      </c>
      <c r="D102">
        <v>8</v>
      </c>
      <c r="E102">
        <v>152</v>
      </c>
    </row>
    <row r="103" spans="1:5" x14ac:dyDescent="0.25">
      <c r="A103" t="s">
        <v>31</v>
      </c>
      <c r="B103">
        <v>499</v>
      </c>
      <c r="C103" s="1">
        <v>42637</v>
      </c>
      <c r="D103">
        <v>9</v>
      </c>
      <c r="E103">
        <v>99</v>
      </c>
    </row>
    <row r="104" spans="1:5" x14ac:dyDescent="0.25">
      <c r="A104" t="s">
        <v>73</v>
      </c>
      <c r="B104">
        <v>687</v>
      </c>
      <c r="C104" s="1">
        <v>43336</v>
      </c>
      <c r="D104">
        <v>8</v>
      </c>
      <c r="E104">
        <v>129</v>
      </c>
    </row>
    <row r="105" spans="1:5" x14ac:dyDescent="0.25">
      <c r="A105" t="s">
        <v>82</v>
      </c>
      <c r="B105">
        <v>1252</v>
      </c>
      <c r="C105" s="1">
        <v>44306</v>
      </c>
      <c r="D105">
        <v>4</v>
      </c>
      <c r="E105">
        <v>279</v>
      </c>
    </row>
    <row r="106" spans="1:5" x14ac:dyDescent="0.25">
      <c r="A106" t="s">
        <v>52</v>
      </c>
      <c r="B106">
        <v>157</v>
      </c>
      <c r="C106" s="1">
        <v>44038</v>
      </c>
      <c r="D106">
        <v>7</v>
      </c>
      <c r="E106">
        <v>210</v>
      </c>
    </row>
    <row r="107" spans="1:5" x14ac:dyDescent="0.25">
      <c r="A107" t="s">
        <v>113</v>
      </c>
      <c r="B107">
        <v>624</v>
      </c>
      <c r="C107" s="1">
        <v>44090</v>
      </c>
      <c r="D107">
        <v>9</v>
      </c>
      <c r="E107">
        <v>245</v>
      </c>
    </row>
    <row r="108" spans="1:5" x14ac:dyDescent="0.25">
      <c r="A108" t="s">
        <v>31</v>
      </c>
      <c r="B108">
        <v>754</v>
      </c>
      <c r="C108" s="1">
        <v>42927</v>
      </c>
      <c r="D108">
        <v>7</v>
      </c>
      <c r="E108">
        <v>220</v>
      </c>
    </row>
    <row r="109" spans="1:5" x14ac:dyDescent="0.25">
      <c r="A109" t="s">
        <v>34</v>
      </c>
      <c r="B109">
        <v>583</v>
      </c>
      <c r="C109" s="1">
        <v>43797</v>
      </c>
      <c r="D109">
        <v>11</v>
      </c>
      <c r="E109">
        <v>433</v>
      </c>
    </row>
    <row r="110" spans="1:5" x14ac:dyDescent="0.25">
      <c r="A110" t="s">
        <v>114</v>
      </c>
      <c r="B110">
        <v>195</v>
      </c>
      <c r="C110" s="1">
        <v>43987</v>
      </c>
      <c r="D110">
        <v>6</v>
      </c>
      <c r="E110">
        <v>102</v>
      </c>
    </row>
    <row r="111" spans="1:5" x14ac:dyDescent="0.25">
      <c r="A111" t="s">
        <v>42</v>
      </c>
      <c r="B111">
        <v>597</v>
      </c>
      <c r="C111" s="1">
        <v>44200</v>
      </c>
      <c r="D111">
        <v>1</v>
      </c>
      <c r="E111">
        <v>514</v>
      </c>
    </row>
    <row r="112" spans="1:5" x14ac:dyDescent="0.25">
      <c r="A112" t="s">
        <v>71</v>
      </c>
      <c r="B112">
        <v>1088</v>
      </c>
      <c r="C112" s="1">
        <v>43923</v>
      </c>
      <c r="D112">
        <v>4</v>
      </c>
      <c r="E112">
        <v>527</v>
      </c>
    </row>
    <row r="113" spans="1:5" x14ac:dyDescent="0.25">
      <c r="A113" t="s">
        <v>71</v>
      </c>
      <c r="B113">
        <v>436</v>
      </c>
      <c r="C113" s="1">
        <v>44149</v>
      </c>
      <c r="D113">
        <v>11</v>
      </c>
      <c r="E113">
        <v>472</v>
      </c>
    </row>
    <row r="114" spans="1:5" x14ac:dyDescent="0.25">
      <c r="A114" t="s">
        <v>45</v>
      </c>
      <c r="B114">
        <v>753</v>
      </c>
      <c r="C114" s="1">
        <v>43976</v>
      </c>
      <c r="D114">
        <v>5</v>
      </c>
      <c r="E114">
        <v>487</v>
      </c>
    </row>
    <row r="115" spans="1:5" x14ac:dyDescent="0.25">
      <c r="A115" t="s">
        <v>40</v>
      </c>
      <c r="B115">
        <v>357</v>
      </c>
      <c r="C115" s="1">
        <v>44088</v>
      </c>
      <c r="D115">
        <v>9</v>
      </c>
      <c r="E115">
        <v>589</v>
      </c>
    </row>
    <row r="116" spans="1:5" x14ac:dyDescent="0.25">
      <c r="A116" t="s">
        <v>60</v>
      </c>
      <c r="B116">
        <v>612</v>
      </c>
      <c r="C116" s="1">
        <v>44383</v>
      </c>
      <c r="D116">
        <v>7</v>
      </c>
      <c r="E116">
        <v>56</v>
      </c>
    </row>
    <row r="117" spans="1:5" x14ac:dyDescent="0.25">
      <c r="A117" t="s">
        <v>46</v>
      </c>
      <c r="B117">
        <v>316</v>
      </c>
      <c r="C117" s="1">
        <v>44155</v>
      </c>
      <c r="D117">
        <v>11</v>
      </c>
      <c r="E117">
        <v>33</v>
      </c>
    </row>
    <row r="118" spans="1:5" x14ac:dyDescent="0.25">
      <c r="A118" t="s">
        <v>53</v>
      </c>
      <c r="B118">
        <v>108</v>
      </c>
      <c r="C118" s="1">
        <v>44100</v>
      </c>
      <c r="D118">
        <v>9</v>
      </c>
      <c r="E118">
        <v>425</v>
      </c>
    </row>
    <row r="119" spans="1:5" x14ac:dyDescent="0.25">
      <c r="A119" t="s">
        <v>53</v>
      </c>
      <c r="B119">
        <v>388</v>
      </c>
      <c r="C119" s="1">
        <v>43443</v>
      </c>
      <c r="D119">
        <v>12</v>
      </c>
      <c r="E119">
        <v>45</v>
      </c>
    </row>
    <row r="120" spans="1:5" x14ac:dyDescent="0.25">
      <c r="A120" t="s">
        <v>43</v>
      </c>
      <c r="B120">
        <v>192</v>
      </c>
      <c r="C120" s="1">
        <v>44062</v>
      </c>
      <c r="D120">
        <v>8</v>
      </c>
      <c r="E120">
        <v>531</v>
      </c>
    </row>
    <row r="121" spans="1:5" x14ac:dyDescent="0.25">
      <c r="A121" t="s">
        <v>63</v>
      </c>
      <c r="B121">
        <v>852</v>
      </c>
      <c r="C121" s="1">
        <v>43909</v>
      </c>
      <c r="D121">
        <v>3</v>
      </c>
      <c r="E121">
        <v>155</v>
      </c>
    </row>
    <row r="122" spans="1:5" x14ac:dyDescent="0.25">
      <c r="A122" t="s">
        <v>63</v>
      </c>
      <c r="B122">
        <v>643</v>
      </c>
      <c r="C122" s="1">
        <v>44194</v>
      </c>
      <c r="D122">
        <v>12</v>
      </c>
      <c r="E122">
        <v>368</v>
      </c>
    </row>
    <row r="123" spans="1:5" x14ac:dyDescent="0.25">
      <c r="A123" t="s">
        <v>53</v>
      </c>
      <c r="B123">
        <v>640</v>
      </c>
      <c r="C123" s="1">
        <v>42928</v>
      </c>
      <c r="D123">
        <v>7</v>
      </c>
      <c r="E123">
        <v>78</v>
      </c>
    </row>
    <row r="124" spans="1:5" x14ac:dyDescent="0.25">
      <c r="A124" t="s">
        <v>52</v>
      </c>
      <c r="B124">
        <v>669</v>
      </c>
      <c r="C124" s="1">
        <v>44027</v>
      </c>
      <c r="D124">
        <v>7</v>
      </c>
      <c r="E124">
        <v>463</v>
      </c>
    </row>
    <row r="125" spans="1:5" x14ac:dyDescent="0.25">
      <c r="A125" t="s">
        <v>83</v>
      </c>
      <c r="B125">
        <v>181</v>
      </c>
      <c r="C125" s="1">
        <v>44433</v>
      </c>
      <c r="D125">
        <v>8</v>
      </c>
      <c r="E125">
        <v>225</v>
      </c>
    </row>
    <row r="126" spans="1:5" x14ac:dyDescent="0.25">
      <c r="A126" t="s">
        <v>42</v>
      </c>
      <c r="B126">
        <v>730</v>
      </c>
      <c r="C126" s="1">
        <v>43761</v>
      </c>
      <c r="D126">
        <v>10</v>
      </c>
      <c r="E126">
        <v>198</v>
      </c>
    </row>
    <row r="127" spans="1:5" x14ac:dyDescent="0.25">
      <c r="A127" t="s">
        <v>83</v>
      </c>
      <c r="B127">
        <v>497</v>
      </c>
      <c r="C127" s="1">
        <v>44070</v>
      </c>
      <c r="D127">
        <v>8</v>
      </c>
      <c r="E127">
        <v>197</v>
      </c>
    </row>
    <row r="128" spans="1:5" x14ac:dyDescent="0.25">
      <c r="A128" t="s">
        <v>47</v>
      </c>
      <c r="B128">
        <v>533</v>
      </c>
      <c r="C128" s="1">
        <v>42633</v>
      </c>
      <c r="D128">
        <v>9</v>
      </c>
      <c r="E128">
        <v>540</v>
      </c>
    </row>
    <row r="129" spans="1:5" x14ac:dyDescent="0.25">
      <c r="A129" t="s">
        <v>46</v>
      </c>
      <c r="B129">
        <v>432</v>
      </c>
      <c r="C129" s="1">
        <v>44107</v>
      </c>
      <c r="D129">
        <v>10</v>
      </c>
      <c r="E129">
        <v>473</v>
      </c>
    </row>
    <row r="130" spans="1:5" x14ac:dyDescent="0.25">
      <c r="A130" t="s">
        <v>35</v>
      </c>
      <c r="B130">
        <v>1968</v>
      </c>
      <c r="C130" s="1">
        <v>44258</v>
      </c>
      <c r="D130">
        <v>3</v>
      </c>
      <c r="E130">
        <v>362</v>
      </c>
    </row>
    <row r="131" spans="1:5" x14ac:dyDescent="0.25">
      <c r="A131" t="s">
        <v>46</v>
      </c>
      <c r="B131">
        <v>415</v>
      </c>
      <c r="C131" s="1">
        <v>44037</v>
      </c>
      <c r="D131">
        <v>7</v>
      </c>
      <c r="E131">
        <v>158</v>
      </c>
    </row>
    <row r="132" spans="1:5" x14ac:dyDescent="0.25">
      <c r="A132" t="s">
        <v>114</v>
      </c>
      <c r="B132">
        <v>398</v>
      </c>
      <c r="C132" s="1">
        <v>44191</v>
      </c>
      <c r="D132">
        <v>12</v>
      </c>
      <c r="E132">
        <v>134</v>
      </c>
    </row>
    <row r="133" spans="1:5" x14ac:dyDescent="0.25">
      <c r="A133" t="s">
        <v>118</v>
      </c>
      <c r="B133">
        <v>308</v>
      </c>
      <c r="C133" s="1">
        <v>44148</v>
      </c>
      <c r="D133">
        <v>11</v>
      </c>
      <c r="E133">
        <v>17</v>
      </c>
    </row>
    <row r="134" spans="1:5" x14ac:dyDescent="0.25">
      <c r="A134" t="s">
        <v>63</v>
      </c>
      <c r="B134">
        <v>761</v>
      </c>
      <c r="C134" s="1">
        <v>43822</v>
      </c>
      <c r="D134">
        <v>12</v>
      </c>
      <c r="E134">
        <v>215</v>
      </c>
    </row>
    <row r="135" spans="1:5" x14ac:dyDescent="0.25">
      <c r="A135" t="s">
        <v>93</v>
      </c>
      <c r="B135">
        <v>750</v>
      </c>
      <c r="C135" s="1">
        <v>43735</v>
      </c>
      <c r="D135">
        <v>9</v>
      </c>
      <c r="E135">
        <v>133</v>
      </c>
    </row>
    <row r="136" spans="1:5" x14ac:dyDescent="0.25">
      <c r="A136" t="s">
        <v>102</v>
      </c>
      <c r="B136">
        <v>333</v>
      </c>
      <c r="C136" s="1">
        <v>44351</v>
      </c>
      <c r="D136">
        <v>6</v>
      </c>
      <c r="E136">
        <v>143</v>
      </c>
    </row>
    <row r="137" spans="1:5" x14ac:dyDescent="0.25">
      <c r="A137" t="s">
        <v>95</v>
      </c>
      <c r="B137">
        <v>932</v>
      </c>
      <c r="C137" s="1">
        <v>43915</v>
      </c>
      <c r="D137">
        <v>3</v>
      </c>
      <c r="E137">
        <v>576</v>
      </c>
    </row>
    <row r="138" spans="1:5" x14ac:dyDescent="0.25">
      <c r="A138" t="s">
        <v>51</v>
      </c>
      <c r="B138">
        <v>439</v>
      </c>
      <c r="C138" s="1">
        <v>42867</v>
      </c>
      <c r="D138">
        <v>5</v>
      </c>
      <c r="E138">
        <v>8</v>
      </c>
    </row>
    <row r="139" spans="1:5" x14ac:dyDescent="0.25">
      <c r="A139" t="s">
        <v>71</v>
      </c>
      <c r="B139">
        <v>321</v>
      </c>
      <c r="C139" s="1">
        <v>43959</v>
      </c>
      <c r="D139">
        <v>5</v>
      </c>
      <c r="E139">
        <v>482</v>
      </c>
    </row>
    <row r="140" spans="1:5" x14ac:dyDescent="0.25">
      <c r="A140" t="s">
        <v>83</v>
      </c>
      <c r="B140">
        <v>148</v>
      </c>
      <c r="C140" s="1">
        <v>43443</v>
      </c>
      <c r="D140">
        <v>12</v>
      </c>
      <c r="E140">
        <v>459</v>
      </c>
    </row>
    <row r="141" spans="1:5" x14ac:dyDescent="0.25">
      <c r="A141" t="s">
        <v>117</v>
      </c>
      <c r="B141">
        <v>592</v>
      </c>
      <c r="C141" s="1">
        <v>43702</v>
      </c>
      <c r="D141">
        <v>8</v>
      </c>
      <c r="E141">
        <v>510</v>
      </c>
    </row>
    <row r="142" spans="1:5" x14ac:dyDescent="0.25">
      <c r="A142" t="s">
        <v>82</v>
      </c>
      <c r="B142">
        <v>191</v>
      </c>
      <c r="C142" s="1">
        <v>43336</v>
      </c>
      <c r="D142">
        <v>8</v>
      </c>
      <c r="E142">
        <v>529</v>
      </c>
    </row>
    <row r="143" spans="1:5" x14ac:dyDescent="0.25">
      <c r="A143" t="s">
        <v>90</v>
      </c>
      <c r="B143">
        <v>624</v>
      </c>
      <c r="C143" s="1">
        <v>44325</v>
      </c>
      <c r="D143">
        <v>5</v>
      </c>
      <c r="E143">
        <v>578</v>
      </c>
    </row>
    <row r="144" spans="1:5" x14ac:dyDescent="0.25">
      <c r="A144" t="s">
        <v>116</v>
      </c>
      <c r="B144">
        <v>572</v>
      </c>
      <c r="C144" s="1">
        <v>42564</v>
      </c>
      <c r="D144">
        <v>7</v>
      </c>
      <c r="E144">
        <v>219</v>
      </c>
    </row>
    <row r="145" spans="1:5" x14ac:dyDescent="0.25">
      <c r="A145" t="s">
        <v>31</v>
      </c>
      <c r="B145">
        <v>1919</v>
      </c>
      <c r="C145" s="1">
        <v>43585</v>
      </c>
      <c r="D145">
        <v>4</v>
      </c>
      <c r="E145">
        <v>192</v>
      </c>
    </row>
    <row r="146" spans="1:5" x14ac:dyDescent="0.25">
      <c r="A146" t="s">
        <v>95</v>
      </c>
      <c r="B146">
        <v>540</v>
      </c>
      <c r="C146" s="1">
        <v>44194</v>
      </c>
      <c r="D146">
        <v>12</v>
      </c>
      <c r="E146">
        <v>120</v>
      </c>
    </row>
    <row r="147" spans="1:5" x14ac:dyDescent="0.25">
      <c r="A147" t="s">
        <v>46</v>
      </c>
      <c r="B147">
        <v>776</v>
      </c>
      <c r="C147" s="1">
        <v>44271</v>
      </c>
      <c r="D147">
        <v>3</v>
      </c>
      <c r="E147">
        <v>152</v>
      </c>
    </row>
    <row r="148" spans="1:5" x14ac:dyDescent="0.25">
      <c r="A148" t="s">
        <v>81</v>
      </c>
      <c r="B148">
        <v>230</v>
      </c>
      <c r="C148" s="1">
        <v>44137</v>
      </c>
      <c r="D148">
        <v>11</v>
      </c>
      <c r="E148">
        <v>421</v>
      </c>
    </row>
    <row r="149" spans="1:5" x14ac:dyDescent="0.25">
      <c r="A149" t="s">
        <v>95</v>
      </c>
      <c r="B149">
        <v>371</v>
      </c>
      <c r="C149" s="1">
        <v>44053</v>
      </c>
      <c r="D149">
        <v>8</v>
      </c>
      <c r="E149">
        <v>44</v>
      </c>
    </row>
    <row r="150" spans="1:5" x14ac:dyDescent="0.25">
      <c r="C150" s="1"/>
    </row>
    <row r="151" spans="1:5" x14ac:dyDescent="0.25">
      <c r="C151" s="1"/>
    </row>
    <row r="152" spans="1:5" x14ac:dyDescent="0.25">
      <c r="C152" s="1"/>
    </row>
    <row r="153" spans="1:5" x14ac:dyDescent="0.25">
      <c r="C153" s="1"/>
    </row>
    <row r="154" spans="1:5" x14ac:dyDescent="0.25">
      <c r="C154" s="1"/>
    </row>
    <row r="155" spans="1:5" x14ac:dyDescent="0.25">
      <c r="C155" s="1"/>
    </row>
    <row r="156" spans="1:5" x14ac:dyDescent="0.25">
      <c r="C156" s="1"/>
    </row>
    <row r="157" spans="1:5" x14ac:dyDescent="0.25">
      <c r="C157" s="1"/>
    </row>
    <row r="158" spans="1:5" x14ac:dyDescent="0.25">
      <c r="C158" s="1"/>
    </row>
    <row r="159" spans="1:5" x14ac:dyDescent="0.25">
      <c r="C159" s="1"/>
    </row>
    <row r="160" spans="1:5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B39F6-6301-49AB-BF46-632A8A4EFFF0}">
  <sheetPr codeName="Sheet10"/>
  <dimension ref="A1:E1001"/>
  <sheetViews>
    <sheetView topLeftCell="A127" workbookViewId="0">
      <selection activeCell="E153" sqref="E153"/>
    </sheetView>
  </sheetViews>
  <sheetFormatPr defaultRowHeight="15" x14ac:dyDescent="0.25"/>
  <cols>
    <col min="1" max="1" width="8.42578125" bestFit="1" customWidth="1"/>
    <col min="2" max="2" width="11.28515625" bestFit="1" customWidth="1"/>
    <col min="3" max="3" width="10.7109375" bestFit="1" customWidth="1"/>
    <col min="4" max="4" width="13.5703125" bestFit="1" customWidth="1"/>
    <col min="5" max="5" width="12.5703125" bestFit="1" customWidth="1"/>
    <col min="6" max="10" width="9.140625" customWidth="1"/>
  </cols>
  <sheetData>
    <row r="1" spans="1:5" x14ac:dyDescent="0.25">
      <c r="A1" t="s">
        <v>134</v>
      </c>
      <c r="B1" t="s">
        <v>141</v>
      </c>
      <c r="C1" t="s">
        <v>142</v>
      </c>
      <c r="D1" t="s">
        <v>152</v>
      </c>
      <c r="E1" t="s">
        <v>144</v>
      </c>
    </row>
    <row r="2" spans="1:5" x14ac:dyDescent="0.25">
      <c r="A2" t="s">
        <v>61</v>
      </c>
      <c r="B2">
        <v>453</v>
      </c>
      <c r="C2" s="1">
        <v>43221</v>
      </c>
      <c r="D2">
        <v>5</v>
      </c>
      <c r="E2">
        <v>460</v>
      </c>
    </row>
    <row r="3" spans="1:5" x14ac:dyDescent="0.25">
      <c r="A3" t="s">
        <v>31</v>
      </c>
      <c r="B3">
        <v>151</v>
      </c>
      <c r="C3" s="1">
        <v>44072</v>
      </c>
      <c r="D3">
        <v>8</v>
      </c>
      <c r="E3">
        <v>387</v>
      </c>
    </row>
    <row r="4" spans="1:5" x14ac:dyDescent="0.25">
      <c r="A4" t="s">
        <v>31</v>
      </c>
      <c r="B4">
        <v>682</v>
      </c>
      <c r="C4" s="1">
        <v>43036</v>
      </c>
      <c r="D4">
        <v>10</v>
      </c>
      <c r="E4">
        <v>238</v>
      </c>
    </row>
    <row r="5" spans="1:5" x14ac:dyDescent="0.25">
      <c r="A5" t="s">
        <v>32</v>
      </c>
      <c r="B5">
        <v>280</v>
      </c>
      <c r="C5" s="1">
        <v>43772</v>
      </c>
      <c r="D5">
        <v>11</v>
      </c>
      <c r="E5">
        <v>401</v>
      </c>
    </row>
    <row r="6" spans="1:5" x14ac:dyDescent="0.25">
      <c r="A6" t="s">
        <v>80</v>
      </c>
      <c r="B6">
        <v>1687</v>
      </c>
      <c r="C6" s="1">
        <v>44282</v>
      </c>
      <c r="D6">
        <v>3</v>
      </c>
      <c r="E6">
        <v>141</v>
      </c>
    </row>
    <row r="7" spans="1:5" x14ac:dyDescent="0.25">
      <c r="A7" t="s">
        <v>63</v>
      </c>
      <c r="B7">
        <v>215</v>
      </c>
      <c r="C7" s="1">
        <v>43331</v>
      </c>
      <c r="D7">
        <v>8</v>
      </c>
      <c r="E7">
        <v>260</v>
      </c>
    </row>
    <row r="8" spans="1:5" x14ac:dyDescent="0.25">
      <c r="A8" t="s">
        <v>116</v>
      </c>
      <c r="B8">
        <v>983</v>
      </c>
      <c r="C8" s="1">
        <v>43152</v>
      </c>
      <c r="D8">
        <v>2</v>
      </c>
      <c r="E8">
        <v>353</v>
      </c>
    </row>
    <row r="9" spans="1:5" x14ac:dyDescent="0.25">
      <c r="A9" t="s">
        <v>118</v>
      </c>
      <c r="B9">
        <v>746</v>
      </c>
      <c r="C9" s="1">
        <v>44097</v>
      </c>
      <c r="D9">
        <v>9</v>
      </c>
      <c r="E9">
        <v>350</v>
      </c>
    </row>
    <row r="10" spans="1:5" x14ac:dyDescent="0.25">
      <c r="A10" t="s">
        <v>51</v>
      </c>
      <c r="B10">
        <v>758</v>
      </c>
      <c r="C10" s="1">
        <v>44170</v>
      </c>
      <c r="D10">
        <v>12</v>
      </c>
      <c r="E10">
        <v>27</v>
      </c>
    </row>
    <row r="11" spans="1:5" x14ac:dyDescent="0.25">
      <c r="A11" t="s">
        <v>71</v>
      </c>
      <c r="B11">
        <v>1513</v>
      </c>
      <c r="C11" s="1">
        <v>43941</v>
      </c>
      <c r="D11">
        <v>4</v>
      </c>
      <c r="E11">
        <v>153</v>
      </c>
    </row>
    <row r="12" spans="1:5" x14ac:dyDescent="0.25">
      <c r="A12" t="s">
        <v>64</v>
      </c>
      <c r="B12">
        <v>1019</v>
      </c>
      <c r="C12" s="1">
        <v>43941</v>
      </c>
      <c r="D12">
        <v>4</v>
      </c>
      <c r="E12">
        <v>57</v>
      </c>
    </row>
    <row r="13" spans="1:5" x14ac:dyDescent="0.25">
      <c r="A13" t="s">
        <v>70</v>
      </c>
      <c r="B13">
        <v>168</v>
      </c>
      <c r="C13" s="1">
        <v>43675</v>
      </c>
      <c r="D13">
        <v>7</v>
      </c>
      <c r="E13">
        <v>4</v>
      </c>
    </row>
    <row r="14" spans="1:5" x14ac:dyDescent="0.25">
      <c r="A14" t="s">
        <v>89</v>
      </c>
      <c r="B14">
        <v>419</v>
      </c>
      <c r="C14" s="1">
        <v>43249</v>
      </c>
      <c r="D14">
        <v>5</v>
      </c>
      <c r="E14">
        <v>553</v>
      </c>
    </row>
    <row r="15" spans="1:5" x14ac:dyDescent="0.25">
      <c r="A15" t="s">
        <v>44</v>
      </c>
      <c r="B15">
        <v>947</v>
      </c>
      <c r="C15" s="1">
        <v>42837</v>
      </c>
      <c r="D15">
        <v>4</v>
      </c>
      <c r="E15">
        <v>455</v>
      </c>
    </row>
    <row r="16" spans="1:5" x14ac:dyDescent="0.25">
      <c r="A16" t="s">
        <v>105</v>
      </c>
      <c r="B16">
        <v>563</v>
      </c>
      <c r="C16" s="1">
        <v>43699</v>
      </c>
      <c r="D16">
        <v>8</v>
      </c>
      <c r="E16">
        <v>221</v>
      </c>
    </row>
    <row r="17" spans="1:5" x14ac:dyDescent="0.25">
      <c r="A17" t="s">
        <v>51</v>
      </c>
      <c r="B17">
        <v>749</v>
      </c>
      <c r="C17" s="1">
        <v>43684</v>
      </c>
      <c r="D17">
        <v>8</v>
      </c>
      <c r="E17">
        <v>338</v>
      </c>
    </row>
    <row r="18" spans="1:5" x14ac:dyDescent="0.25">
      <c r="A18" t="s">
        <v>45</v>
      </c>
      <c r="B18">
        <v>1376</v>
      </c>
      <c r="C18" s="1">
        <v>44309</v>
      </c>
      <c r="D18">
        <v>4</v>
      </c>
      <c r="E18">
        <v>314</v>
      </c>
    </row>
    <row r="19" spans="1:5" x14ac:dyDescent="0.25">
      <c r="A19" t="s">
        <v>43</v>
      </c>
      <c r="B19">
        <v>784</v>
      </c>
      <c r="C19" s="1">
        <v>44416</v>
      </c>
      <c r="D19">
        <v>8</v>
      </c>
      <c r="E19">
        <v>363</v>
      </c>
    </row>
    <row r="20" spans="1:5" x14ac:dyDescent="0.25">
      <c r="A20" t="s">
        <v>92</v>
      </c>
      <c r="B20">
        <v>345</v>
      </c>
      <c r="C20" s="1">
        <v>42999</v>
      </c>
      <c r="D20">
        <v>9</v>
      </c>
      <c r="E20">
        <v>119</v>
      </c>
    </row>
    <row r="21" spans="1:5" x14ac:dyDescent="0.25">
      <c r="A21" t="s">
        <v>45</v>
      </c>
      <c r="B21">
        <v>1430</v>
      </c>
      <c r="C21" s="1">
        <v>43901</v>
      </c>
      <c r="D21">
        <v>3</v>
      </c>
      <c r="E21">
        <v>263</v>
      </c>
    </row>
    <row r="22" spans="1:5" x14ac:dyDescent="0.25">
      <c r="A22" t="s">
        <v>34</v>
      </c>
      <c r="B22">
        <v>1945</v>
      </c>
      <c r="C22" s="1">
        <v>44260</v>
      </c>
      <c r="D22">
        <v>3</v>
      </c>
      <c r="E22">
        <v>281</v>
      </c>
    </row>
    <row r="23" spans="1:5" x14ac:dyDescent="0.25">
      <c r="A23" t="s">
        <v>62</v>
      </c>
      <c r="B23">
        <v>108</v>
      </c>
      <c r="C23" s="1">
        <v>44081</v>
      </c>
      <c r="D23">
        <v>9</v>
      </c>
      <c r="E23">
        <v>218</v>
      </c>
    </row>
    <row r="24" spans="1:5" x14ac:dyDescent="0.25">
      <c r="A24" t="s">
        <v>103</v>
      </c>
      <c r="B24">
        <v>530</v>
      </c>
      <c r="C24" s="1">
        <v>43721</v>
      </c>
      <c r="D24">
        <v>9</v>
      </c>
      <c r="E24">
        <v>517</v>
      </c>
    </row>
    <row r="25" spans="1:5" x14ac:dyDescent="0.25">
      <c r="A25" t="s">
        <v>117</v>
      </c>
      <c r="B25">
        <v>645</v>
      </c>
      <c r="C25" s="1">
        <v>44251</v>
      </c>
      <c r="D25">
        <v>2</v>
      </c>
      <c r="E25">
        <v>182</v>
      </c>
    </row>
    <row r="26" spans="1:5" x14ac:dyDescent="0.25">
      <c r="A26" t="s">
        <v>40</v>
      </c>
      <c r="B26">
        <v>226</v>
      </c>
      <c r="C26" s="1">
        <v>43594</v>
      </c>
      <c r="D26">
        <v>5</v>
      </c>
      <c r="E26">
        <v>402</v>
      </c>
    </row>
    <row r="27" spans="1:5" x14ac:dyDescent="0.25">
      <c r="A27" t="s">
        <v>117</v>
      </c>
      <c r="B27">
        <v>1364</v>
      </c>
      <c r="C27" s="1">
        <v>43157</v>
      </c>
      <c r="D27">
        <v>2</v>
      </c>
      <c r="E27">
        <v>168</v>
      </c>
    </row>
    <row r="28" spans="1:5" x14ac:dyDescent="0.25">
      <c r="A28" t="s">
        <v>42</v>
      </c>
      <c r="B28">
        <v>1092</v>
      </c>
      <c r="C28" s="1">
        <v>44271</v>
      </c>
      <c r="D28">
        <v>3</v>
      </c>
      <c r="E28">
        <v>33</v>
      </c>
    </row>
    <row r="29" spans="1:5" x14ac:dyDescent="0.25">
      <c r="A29" t="s">
        <v>42</v>
      </c>
      <c r="B29">
        <v>681</v>
      </c>
      <c r="C29" s="1">
        <v>44393</v>
      </c>
      <c r="D29">
        <v>7</v>
      </c>
      <c r="E29">
        <v>265</v>
      </c>
    </row>
    <row r="30" spans="1:5" x14ac:dyDescent="0.25">
      <c r="A30" t="s">
        <v>114</v>
      </c>
      <c r="B30">
        <v>221</v>
      </c>
      <c r="C30" s="1">
        <v>42861</v>
      </c>
      <c r="D30">
        <v>5</v>
      </c>
      <c r="E30">
        <v>557</v>
      </c>
    </row>
    <row r="31" spans="1:5" x14ac:dyDescent="0.25">
      <c r="A31" t="s">
        <v>34</v>
      </c>
      <c r="B31">
        <v>646</v>
      </c>
      <c r="C31" s="1">
        <v>44157</v>
      </c>
      <c r="D31">
        <v>11</v>
      </c>
      <c r="E31">
        <v>145</v>
      </c>
    </row>
    <row r="32" spans="1:5" x14ac:dyDescent="0.25">
      <c r="A32" t="s">
        <v>113</v>
      </c>
      <c r="B32">
        <v>1319</v>
      </c>
      <c r="C32" s="1">
        <v>44294</v>
      </c>
      <c r="D32">
        <v>4</v>
      </c>
      <c r="E32">
        <v>506</v>
      </c>
    </row>
    <row r="33" spans="1:5" x14ac:dyDescent="0.25">
      <c r="A33" t="s">
        <v>93</v>
      </c>
      <c r="B33">
        <v>681</v>
      </c>
      <c r="C33" s="1">
        <v>44205</v>
      </c>
      <c r="D33">
        <v>1</v>
      </c>
      <c r="E33">
        <v>327</v>
      </c>
    </row>
    <row r="34" spans="1:5" x14ac:dyDescent="0.25">
      <c r="A34" t="s">
        <v>114</v>
      </c>
      <c r="B34">
        <v>149</v>
      </c>
      <c r="C34" s="1">
        <v>43658</v>
      </c>
      <c r="D34">
        <v>7</v>
      </c>
      <c r="E34">
        <v>402</v>
      </c>
    </row>
    <row r="35" spans="1:5" x14ac:dyDescent="0.25">
      <c r="A35" t="s">
        <v>63</v>
      </c>
      <c r="B35">
        <v>185</v>
      </c>
      <c r="C35" s="1">
        <v>43251</v>
      </c>
      <c r="D35">
        <v>5</v>
      </c>
      <c r="E35">
        <v>32</v>
      </c>
    </row>
    <row r="36" spans="1:5" x14ac:dyDescent="0.25">
      <c r="A36" t="s">
        <v>42</v>
      </c>
      <c r="B36">
        <v>736</v>
      </c>
      <c r="C36" s="1">
        <v>44051</v>
      </c>
      <c r="D36">
        <v>8</v>
      </c>
      <c r="E36">
        <v>586</v>
      </c>
    </row>
    <row r="37" spans="1:5" x14ac:dyDescent="0.25">
      <c r="A37" t="s">
        <v>62</v>
      </c>
      <c r="B37">
        <v>274</v>
      </c>
      <c r="C37" s="1">
        <v>44072</v>
      </c>
      <c r="D37">
        <v>8</v>
      </c>
      <c r="E37">
        <v>443</v>
      </c>
    </row>
    <row r="38" spans="1:5" x14ac:dyDescent="0.25">
      <c r="A38" t="s">
        <v>89</v>
      </c>
      <c r="B38">
        <v>1033</v>
      </c>
      <c r="C38" s="1">
        <v>43876</v>
      </c>
      <c r="D38">
        <v>2</v>
      </c>
      <c r="E38">
        <v>176</v>
      </c>
    </row>
    <row r="39" spans="1:5" x14ac:dyDescent="0.25">
      <c r="A39" t="s">
        <v>46</v>
      </c>
      <c r="B39">
        <v>594</v>
      </c>
      <c r="C39" s="1">
        <v>43698</v>
      </c>
      <c r="D39">
        <v>8</v>
      </c>
      <c r="E39">
        <v>485</v>
      </c>
    </row>
    <row r="40" spans="1:5" x14ac:dyDescent="0.25">
      <c r="A40" t="s">
        <v>70</v>
      </c>
      <c r="B40">
        <v>506</v>
      </c>
      <c r="C40" s="1">
        <v>43703</v>
      </c>
      <c r="D40">
        <v>8</v>
      </c>
      <c r="E40">
        <v>476</v>
      </c>
    </row>
    <row r="41" spans="1:5" x14ac:dyDescent="0.25">
      <c r="A41" t="s">
        <v>51</v>
      </c>
      <c r="B41">
        <v>1362</v>
      </c>
      <c r="C41" s="1">
        <v>43575</v>
      </c>
      <c r="D41">
        <v>4</v>
      </c>
      <c r="E41">
        <v>164</v>
      </c>
    </row>
    <row r="42" spans="1:5" x14ac:dyDescent="0.25">
      <c r="A42" t="s">
        <v>52</v>
      </c>
      <c r="B42">
        <v>275</v>
      </c>
      <c r="C42" s="1">
        <v>44401</v>
      </c>
      <c r="D42">
        <v>7</v>
      </c>
      <c r="E42">
        <v>589</v>
      </c>
    </row>
    <row r="43" spans="1:5" x14ac:dyDescent="0.25">
      <c r="A43" t="s">
        <v>64</v>
      </c>
      <c r="B43">
        <v>532</v>
      </c>
      <c r="C43" s="1">
        <v>43301</v>
      </c>
      <c r="D43">
        <v>7</v>
      </c>
      <c r="E43">
        <v>41</v>
      </c>
    </row>
    <row r="44" spans="1:5" x14ac:dyDescent="0.25">
      <c r="A44" t="s">
        <v>34</v>
      </c>
      <c r="B44">
        <v>622</v>
      </c>
      <c r="C44" s="1">
        <v>44346</v>
      </c>
      <c r="D44">
        <v>5</v>
      </c>
      <c r="E44">
        <v>449</v>
      </c>
    </row>
    <row r="45" spans="1:5" x14ac:dyDescent="0.25">
      <c r="A45" t="s">
        <v>91</v>
      </c>
      <c r="B45">
        <v>723</v>
      </c>
      <c r="C45" s="1">
        <v>43621</v>
      </c>
      <c r="D45">
        <v>6</v>
      </c>
      <c r="E45">
        <v>54</v>
      </c>
    </row>
    <row r="46" spans="1:5" x14ac:dyDescent="0.25">
      <c r="A46" t="s">
        <v>89</v>
      </c>
      <c r="B46">
        <v>262</v>
      </c>
      <c r="C46" s="1">
        <v>43954</v>
      </c>
      <c r="D46">
        <v>5</v>
      </c>
      <c r="E46">
        <v>346</v>
      </c>
    </row>
    <row r="47" spans="1:5" x14ac:dyDescent="0.25">
      <c r="A47" t="s">
        <v>47</v>
      </c>
      <c r="B47">
        <v>492</v>
      </c>
      <c r="C47" s="1">
        <v>42617</v>
      </c>
      <c r="D47">
        <v>9</v>
      </c>
      <c r="E47">
        <v>335</v>
      </c>
    </row>
    <row r="48" spans="1:5" x14ac:dyDescent="0.25">
      <c r="A48" t="s">
        <v>74</v>
      </c>
      <c r="B48">
        <v>400</v>
      </c>
      <c r="C48" s="1">
        <v>43676</v>
      </c>
      <c r="D48">
        <v>7</v>
      </c>
      <c r="E48">
        <v>550</v>
      </c>
    </row>
    <row r="49" spans="1:5" x14ac:dyDescent="0.25">
      <c r="A49" t="s">
        <v>41</v>
      </c>
      <c r="B49">
        <v>692</v>
      </c>
      <c r="C49" s="1">
        <v>44052</v>
      </c>
      <c r="D49">
        <v>8</v>
      </c>
      <c r="E49">
        <v>447</v>
      </c>
    </row>
    <row r="50" spans="1:5" x14ac:dyDescent="0.25">
      <c r="A50" t="s">
        <v>89</v>
      </c>
      <c r="B50">
        <v>284</v>
      </c>
      <c r="C50" s="1">
        <v>43610</v>
      </c>
      <c r="D50">
        <v>5</v>
      </c>
      <c r="E50">
        <v>291</v>
      </c>
    </row>
    <row r="51" spans="1:5" x14ac:dyDescent="0.25">
      <c r="A51" t="s">
        <v>34</v>
      </c>
      <c r="B51">
        <v>760</v>
      </c>
      <c r="C51" s="1">
        <v>44443</v>
      </c>
      <c r="D51">
        <v>9</v>
      </c>
      <c r="E51">
        <v>195</v>
      </c>
    </row>
    <row r="52" spans="1:5" x14ac:dyDescent="0.25">
      <c r="A52" t="s">
        <v>90</v>
      </c>
      <c r="B52">
        <v>434</v>
      </c>
      <c r="C52" s="1">
        <v>44163</v>
      </c>
      <c r="D52">
        <v>11</v>
      </c>
      <c r="E52">
        <v>96</v>
      </c>
    </row>
    <row r="53" spans="1:5" x14ac:dyDescent="0.25">
      <c r="A53" t="s">
        <v>34</v>
      </c>
      <c r="B53">
        <v>615</v>
      </c>
      <c r="C53" s="1">
        <v>43827</v>
      </c>
      <c r="D53">
        <v>12</v>
      </c>
      <c r="E53">
        <v>155</v>
      </c>
    </row>
    <row r="54" spans="1:5" x14ac:dyDescent="0.25">
      <c r="A54" t="s">
        <v>72</v>
      </c>
      <c r="B54">
        <v>476</v>
      </c>
      <c r="C54" s="1">
        <v>44449</v>
      </c>
      <c r="D54">
        <v>9</v>
      </c>
      <c r="E54">
        <v>452</v>
      </c>
    </row>
    <row r="55" spans="1:5" x14ac:dyDescent="0.25">
      <c r="A55" t="s">
        <v>89</v>
      </c>
      <c r="B55">
        <v>691</v>
      </c>
      <c r="C55" s="1">
        <v>43333</v>
      </c>
      <c r="D55">
        <v>8</v>
      </c>
      <c r="E55">
        <v>86</v>
      </c>
    </row>
    <row r="56" spans="1:5" x14ac:dyDescent="0.25">
      <c r="A56" t="s">
        <v>80</v>
      </c>
      <c r="B56">
        <v>509</v>
      </c>
      <c r="C56" s="1">
        <v>43762</v>
      </c>
      <c r="D56">
        <v>10</v>
      </c>
      <c r="E56">
        <v>522</v>
      </c>
    </row>
    <row r="57" spans="1:5" x14ac:dyDescent="0.25">
      <c r="A57" t="s">
        <v>116</v>
      </c>
      <c r="B57">
        <v>1162</v>
      </c>
      <c r="C57" s="1">
        <v>42424</v>
      </c>
      <c r="D57">
        <v>2</v>
      </c>
      <c r="E57">
        <v>440</v>
      </c>
    </row>
    <row r="58" spans="1:5" x14ac:dyDescent="0.25">
      <c r="A58" t="s">
        <v>117</v>
      </c>
      <c r="B58">
        <v>753</v>
      </c>
      <c r="C58" s="1">
        <v>43838</v>
      </c>
      <c r="D58">
        <v>1</v>
      </c>
      <c r="E58">
        <v>87</v>
      </c>
    </row>
    <row r="59" spans="1:5" x14ac:dyDescent="0.25">
      <c r="A59" t="s">
        <v>35</v>
      </c>
      <c r="B59">
        <v>1792</v>
      </c>
      <c r="C59" s="1">
        <v>44292</v>
      </c>
      <c r="D59">
        <v>4</v>
      </c>
      <c r="E59">
        <v>167</v>
      </c>
    </row>
    <row r="60" spans="1:5" x14ac:dyDescent="0.25">
      <c r="A60" t="s">
        <v>63</v>
      </c>
      <c r="B60">
        <v>1963</v>
      </c>
      <c r="C60" s="1">
        <v>43570</v>
      </c>
      <c r="D60">
        <v>4</v>
      </c>
      <c r="E60">
        <v>113</v>
      </c>
    </row>
    <row r="61" spans="1:5" x14ac:dyDescent="0.25">
      <c r="A61" t="s">
        <v>46</v>
      </c>
      <c r="B61">
        <v>563</v>
      </c>
      <c r="C61" s="1">
        <v>43637</v>
      </c>
      <c r="D61">
        <v>6</v>
      </c>
      <c r="E61">
        <v>473</v>
      </c>
    </row>
    <row r="62" spans="1:5" x14ac:dyDescent="0.25">
      <c r="A62" t="s">
        <v>113</v>
      </c>
      <c r="B62">
        <v>210</v>
      </c>
      <c r="C62" s="1">
        <v>44362</v>
      </c>
      <c r="D62">
        <v>6</v>
      </c>
      <c r="E62">
        <v>286</v>
      </c>
    </row>
    <row r="63" spans="1:5" x14ac:dyDescent="0.25">
      <c r="A63" t="s">
        <v>74</v>
      </c>
      <c r="B63">
        <v>607</v>
      </c>
      <c r="C63" s="1">
        <v>44231</v>
      </c>
      <c r="D63">
        <v>2</v>
      </c>
      <c r="E63">
        <v>425</v>
      </c>
    </row>
    <row r="64" spans="1:5" x14ac:dyDescent="0.25">
      <c r="A64" t="s">
        <v>43</v>
      </c>
      <c r="B64">
        <v>526</v>
      </c>
      <c r="C64" s="1">
        <v>44373</v>
      </c>
      <c r="D64">
        <v>6</v>
      </c>
      <c r="E64">
        <v>457</v>
      </c>
    </row>
    <row r="65" spans="1:5" x14ac:dyDescent="0.25">
      <c r="A65" t="s">
        <v>82</v>
      </c>
      <c r="B65">
        <v>681</v>
      </c>
      <c r="C65" s="1">
        <v>44135</v>
      </c>
      <c r="D65">
        <v>10</v>
      </c>
      <c r="E65">
        <v>215</v>
      </c>
    </row>
    <row r="66" spans="1:5" x14ac:dyDescent="0.25">
      <c r="A66" t="s">
        <v>103</v>
      </c>
      <c r="B66">
        <v>1802</v>
      </c>
      <c r="C66" s="1">
        <v>44245</v>
      </c>
      <c r="D66">
        <v>2</v>
      </c>
      <c r="E66">
        <v>26</v>
      </c>
    </row>
    <row r="67" spans="1:5" x14ac:dyDescent="0.25">
      <c r="A67" t="s">
        <v>31</v>
      </c>
      <c r="B67">
        <v>412</v>
      </c>
      <c r="C67" s="1">
        <v>43831</v>
      </c>
      <c r="D67">
        <v>1</v>
      </c>
      <c r="E67">
        <v>261</v>
      </c>
    </row>
    <row r="68" spans="1:5" x14ac:dyDescent="0.25">
      <c r="A68" t="s">
        <v>117</v>
      </c>
      <c r="B68">
        <v>995</v>
      </c>
      <c r="C68" s="1">
        <v>43154</v>
      </c>
      <c r="D68">
        <v>2</v>
      </c>
      <c r="E68">
        <v>185</v>
      </c>
    </row>
    <row r="69" spans="1:5" x14ac:dyDescent="0.25">
      <c r="A69" t="s">
        <v>62</v>
      </c>
      <c r="B69">
        <v>371</v>
      </c>
      <c r="C69" s="1">
        <v>43807</v>
      </c>
      <c r="D69">
        <v>12</v>
      </c>
      <c r="E69">
        <v>205</v>
      </c>
    </row>
    <row r="70" spans="1:5" x14ac:dyDescent="0.25">
      <c r="A70" t="s">
        <v>115</v>
      </c>
      <c r="B70">
        <v>581</v>
      </c>
      <c r="C70" s="1">
        <v>43666</v>
      </c>
      <c r="D70">
        <v>7</v>
      </c>
      <c r="E70">
        <v>564</v>
      </c>
    </row>
    <row r="71" spans="1:5" x14ac:dyDescent="0.25">
      <c r="A71" t="s">
        <v>105</v>
      </c>
      <c r="B71">
        <v>670</v>
      </c>
      <c r="C71" s="1">
        <v>44272</v>
      </c>
      <c r="D71">
        <v>3</v>
      </c>
      <c r="E71">
        <v>356</v>
      </c>
    </row>
    <row r="72" spans="1:5" x14ac:dyDescent="0.25">
      <c r="A72" t="s">
        <v>75</v>
      </c>
      <c r="B72">
        <v>705</v>
      </c>
      <c r="C72" s="1">
        <v>43570</v>
      </c>
      <c r="D72">
        <v>4</v>
      </c>
      <c r="E72">
        <v>130</v>
      </c>
    </row>
    <row r="73" spans="1:5" x14ac:dyDescent="0.25">
      <c r="A73" t="s">
        <v>46</v>
      </c>
      <c r="B73">
        <v>217</v>
      </c>
      <c r="C73" s="1">
        <v>44064</v>
      </c>
      <c r="D73">
        <v>8</v>
      </c>
      <c r="E73">
        <v>126</v>
      </c>
    </row>
    <row r="74" spans="1:5" x14ac:dyDescent="0.25">
      <c r="A74" t="s">
        <v>103</v>
      </c>
      <c r="B74">
        <v>736</v>
      </c>
      <c r="C74" s="1">
        <v>44015</v>
      </c>
      <c r="D74">
        <v>7</v>
      </c>
      <c r="E74">
        <v>263</v>
      </c>
    </row>
    <row r="75" spans="1:5" x14ac:dyDescent="0.25">
      <c r="A75" t="s">
        <v>64</v>
      </c>
      <c r="B75">
        <v>128</v>
      </c>
      <c r="C75" s="1">
        <v>43847</v>
      </c>
      <c r="D75">
        <v>1</v>
      </c>
      <c r="E75">
        <v>244</v>
      </c>
    </row>
    <row r="76" spans="1:5" x14ac:dyDescent="0.25">
      <c r="A76" t="s">
        <v>118</v>
      </c>
      <c r="B76">
        <v>487</v>
      </c>
      <c r="C76" s="1">
        <v>43469</v>
      </c>
      <c r="D76">
        <v>1</v>
      </c>
      <c r="E76">
        <v>442</v>
      </c>
    </row>
    <row r="77" spans="1:5" x14ac:dyDescent="0.25">
      <c r="A77" t="s">
        <v>90</v>
      </c>
      <c r="B77">
        <v>436</v>
      </c>
      <c r="C77" s="1">
        <v>44037</v>
      </c>
      <c r="D77">
        <v>7</v>
      </c>
      <c r="E77">
        <v>284</v>
      </c>
    </row>
    <row r="78" spans="1:5" x14ac:dyDescent="0.25">
      <c r="A78" t="s">
        <v>33</v>
      </c>
      <c r="B78">
        <v>1221</v>
      </c>
      <c r="C78" s="1">
        <v>43889</v>
      </c>
      <c r="D78">
        <v>2</v>
      </c>
      <c r="E78">
        <v>496</v>
      </c>
    </row>
    <row r="79" spans="1:5" x14ac:dyDescent="0.25">
      <c r="A79" t="s">
        <v>53</v>
      </c>
      <c r="B79">
        <v>263</v>
      </c>
      <c r="C79" s="1">
        <v>44001</v>
      </c>
      <c r="D79">
        <v>6</v>
      </c>
      <c r="E79">
        <v>596</v>
      </c>
    </row>
    <row r="80" spans="1:5" x14ac:dyDescent="0.25">
      <c r="A80" t="s">
        <v>104</v>
      </c>
      <c r="B80">
        <v>1324</v>
      </c>
      <c r="C80" s="1">
        <v>43519</v>
      </c>
      <c r="D80">
        <v>2</v>
      </c>
      <c r="E80">
        <v>134</v>
      </c>
    </row>
    <row r="81" spans="1:5" x14ac:dyDescent="0.25">
      <c r="A81" t="s">
        <v>117</v>
      </c>
      <c r="B81">
        <v>744</v>
      </c>
      <c r="C81" s="1">
        <v>43323</v>
      </c>
      <c r="D81">
        <v>8</v>
      </c>
      <c r="E81">
        <v>31</v>
      </c>
    </row>
    <row r="82" spans="1:5" x14ac:dyDescent="0.25">
      <c r="A82" t="s">
        <v>64</v>
      </c>
      <c r="B82">
        <v>1675</v>
      </c>
      <c r="C82" s="1">
        <v>43577</v>
      </c>
      <c r="D82">
        <v>4</v>
      </c>
      <c r="E82">
        <v>529</v>
      </c>
    </row>
    <row r="83" spans="1:5" x14ac:dyDescent="0.25">
      <c r="A83" t="s">
        <v>81</v>
      </c>
      <c r="B83">
        <v>342</v>
      </c>
      <c r="C83" s="1">
        <v>44210</v>
      </c>
      <c r="D83">
        <v>1</v>
      </c>
      <c r="E83">
        <v>575</v>
      </c>
    </row>
    <row r="84" spans="1:5" x14ac:dyDescent="0.25">
      <c r="A84" t="s">
        <v>64</v>
      </c>
      <c r="B84">
        <v>275</v>
      </c>
      <c r="C84" s="1">
        <v>44376</v>
      </c>
      <c r="D84">
        <v>6</v>
      </c>
      <c r="E84">
        <v>125</v>
      </c>
    </row>
    <row r="85" spans="1:5" x14ac:dyDescent="0.25">
      <c r="A85" t="s">
        <v>51</v>
      </c>
      <c r="B85">
        <v>1959</v>
      </c>
      <c r="C85" s="1">
        <v>43178</v>
      </c>
      <c r="D85">
        <v>3</v>
      </c>
      <c r="E85">
        <v>221</v>
      </c>
    </row>
    <row r="86" spans="1:5" x14ac:dyDescent="0.25">
      <c r="A86" t="s">
        <v>118</v>
      </c>
      <c r="B86">
        <v>117</v>
      </c>
      <c r="C86" s="1">
        <v>43705</v>
      </c>
      <c r="D86">
        <v>8</v>
      </c>
      <c r="E86">
        <v>12</v>
      </c>
    </row>
    <row r="87" spans="1:5" x14ac:dyDescent="0.25">
      <c r="A87" t="s">
        <v>117</v>
      </c>
      <c r="B87">
        <v>261</v>
      </c>
      <c r="C87" s="1">
        <v>43790</v>
      </c>
      <c r="D87">
        <v>11</v>
      </c>
      <c r="E87">
        <v>398</v>
      </c>
    </row>
    <row r="88" spans="1:5" x14ac:dyDescent="0.25">
      <c r="A88" t="s">
        <v>43</v>
      </c>
      <c r="B88">
        <v>842</v>
      </c>
      <c r="C88" s="1">
        <v>43516</v>
      </c>
      <c r="D88">
        <v>2</v>
      </c>
      <c r="E88">
        <v>4</v>
      </c>
    </row>
    <row r="89" spans="1:5" x14ac:dyDescent="0.25">
      <c r="A89" t="s">
        <v>64</v>
      </c>
      <c r="B89">
        <v>1702</v>
      </c>
      <c r="C89" s="1">
        <v>43575</v>
      </c>
      <c r="D89">
        <v>4</v>
      </c>
      <c r="E89">
        <v>165</v>
      </c>
    </row>
    <row r="90" spans="1:5" x14ac:dyDescent="0.25">
      <c r="A90" t="s">
        <v>90</v>
      </c>
      <c r="B90">
        <v>1064</v>
      </c>
      <c r="C90" s="1">
        <v>44300</v>
      </c>
      <c r="D90">
        <v>4</v>
      </c>
      <c r="E90">
        <v>200</v>
      </c>
    </row>
    <row r="91" spans="1:5" x14ac:dyDescent="0.25">
      <c r="A91" t="s">
        <v>93</v>
      </c>
      <c r="B91">
        <v>568</v>
      </c>
      <c r="C91" s="1">
        <v>43773</v>
      </c>
      <c r="D91">
        <v>11</v>
      </c>
      <c r="E91">
        <v>204</v>
      </c>
    </row>
    <row r="92" spans="1:5" x14ac:dyDescent="0.25">
      <c r="A92" t="s">
        <v>93</v>
      </c>
      <c r="B92">
        <v>483</v>
      </c>
      <c r="C92" s="1">
        <v>44008</v>
      </c>
      <c r="D92">
        <v>6</v>
      </c>
      <c r="E92">
        <v>46</v>
      </c>
    </row>
    <row r="93" spans="1:5" x14ac:dyDescent="0.25">
      <c r="A93" t="s">
        <v>115</v>
      </c>
      <c r="B93">
        <v>1910</v>
      </c>
      <c r="C93" s="1">
        <v>43917</v>
      </c>
      <c r="D93">
        <v>3</v>
      </c>
      <c r="E93">
        <v>92</v>
      </c>
    </row>
    <row r="94" spans="1:5" x14ac:dyDescent="0.25">
      <c r="A94" t="s">
        <v>41</v>
      </c>
      <c r="B94">
        <v>751</v>
      </c>
      <c r="C94" s="1">
        <v>43605</v>
      </c>
      <c r="D94">
        <v>5</v>
      </c>
      <c r="E94">
        <v>454</v>
      </c>
    </row>
    <row r="95" spans="1:5" x14ac:dyDescent="0.25">
      <c r="A95" t="s">
        <v>31</v>
      </c>
      <c r="B95">
        <v>1222</v>
      </c>
      <c r="C95" s="1">
        <v>42784</v>
      </c>
      <c r="D95">
        <v>2</v>
      </c>
      <c r="E95">
        <v>535</v>
      </c>
    </row>
    <row r="96" spans="1:5" x14ac:dyDescent="0.25">
      <c r="A96" t="s">
        <v>75</v>
      </c>
      <c r="B96">
        <v>749</v>
      </c>
      <c r="C96" s="1">
        <v>43319</v>
      </c>
      <c r="D96">
        <v>8</v>
      </c>
      <c r="E96">
        <v>9</v>
      </c>
    </row>
    <row r="97" spans="1:5" x14ac:dyDescent="0.25">
      <c r="A97" t="s">
        <v>103</v>
      </c>
      <c r="B97">
        <v>367</v>
      </c>
      <c r="C97" s="1">
        <v>43614</v>
      </c>
      <c r="D97">
        <v>5</v>
      </c>
      <c r="E97">
        <v>306</v>
      </c>
    </row>
    <row r="98" spans="1:5" x14ac:dyDescent="0.25">
      <c r="A98" t="s">
        <v>34</v>
      </c>
      <c r="B98">
        <v>328</v>
      </c>
      <c r="C98" s="1">
        <v>43833</v>
      </c>
      <c r="D98">
        <v>1</v>
      </c>
      <c r="E98">
        <v>73</v>
      </c>
    </row>
    <row r="99" spans="1:5" x14ac:dyDescent="0.25">
      <c r="A99" t="s">
        <v>95</v>
      </c>
      <c r="B99">
        <v>626</v>
      </c>
      <c r="C99" s="1">
        <v>44138</v>
      </c>
      <c r="D99">
        <v>11</v>
      </c>
      <c r="E99">
        <v>584</v>
      </c>
    </row>
    <row r="100" spans="1:5" x14ac:dyDescent="0.25">
      <c r="A100" t="s">
        <v>105</v>
      </c>
      <c r="B100">
        <v>548</v>
      </c>
      <c r="C100" s="1">
        <v>44368</v>
      </c>
      <c r="D100">
        <v>6</v>
      </c>
      <c r="E100">
        <v>470</v>
      </c>
    </row>
    <row r="101" spans="1:5" x14ac:dyDescent="0.25">
      <c r="A101" t="s">
        <v>116</v>
      </c>
      <c r="B101">
        <v>1308</v>
      </c>
      <c r="C101" s="1">
        <v>43923</v>
      </c>
      <c r="D101">
        <v>4</v>
      </c>
      <c r="E101">
        <v>427</v>
      </c>
    </row>
    <row r="102" spans="1:5" x14ac:dyDescent="0.25">
      <c r="A102" t="s">
        <v>46</v>
      </c>
      <c r="B102">
        <v>1603</v>
      </c>
      <c r="C102" s="1">
        <v>43561</v>
      </c>
      <c r="D102">
        <v>4</v>
      </c>
      <c r="E102">
        <v>75</v>
      </c>
    </row>
    <row r="103" spans="1:5" x14ac:dyDescent="0.25">
      <c r="A103" t="s">
        <v>31</v>
      </c>
      <c r="B103">
        <v>519</v>
      </c>
      <c r="C103" s="1">
        <v>44340</v>
      </c>
      <c r="D103">
        <v>5</v>
      </c>
      <c r="E103">
        <v>80</v>
      </c>
    </row>
    <row r="104" spans="1:5" x14ac:dyDescent="0.25">
      <c r="A104" t="s">
        <v>41</v>
      </c>
      <c r="B104">
        <v>320</v>
      </c>
      <c r="C104" s="1">
        <v>43826</v>
      </c>
      <c r="D104">
        <v>12</v>
      </c>
      <c r="E104">
        <v>229</v>
      </c>
    </row>
    <row r="105" spans="1:5" x14ac:dyDescent="0.25">
      <c r="A105" t="s">
        <v>41</v>
      </c>
      <c r="B105">
        <v>346</v>
      </c>
      <c r="C105" s="1">
        <v>43393</v>
      </c>
      <c r="D105">
        <v>10</v>
      </c>
      <c r="E105">
        <v>30</v>
      </c>
    </row>
    <row r="106" spans="1:5" x14ac:dyDescent="0.25">
      <c r="A106" t="s">
        <v>63</v>
      </c>
      <c r="B106">
        <v>759</v>
      </c>
      <c r="C106" s="1">
        <v>44144</v>
      </c>
      <c r="D106">
        <v>11</v>
      </c>
      <c r="E106">
        <v>408</v>
      </c>
    </row>
    <row r="107" spans="1:5" x14ac:dyDescent="0.25">
      <c r="A107" t="s">
        <v>93</v>
      </c>
      <c r="B107">
        <v>1979</v>
      </c>
      <c r="C107" s="1">
        <v>44258</v>
      </c>
      <c r="D107">
        <v>3</v>
      </c>
      <c r="E107">
        <v>17</v>
      </c>
    </row>
    <row r="108" spans="1:5" x14ac:dyDescent="0.25">
      <c r="A108" t="s">
        <v>53</v>
      </c>
      <c r="B108">
        <v>325</v>
      </c>
      <c r="C108" s="1">
        <v>43081</v>
      </c>
      <c r="D108">
        <v>12</v>
      </c>
      <c r="E108">
        <v>63</v>
      </c>
    </row>
    <row r="109" spans="1:5" x14ac:dyDescent="0.25">
      <c r="A109" t="s">
        <v>63</v>
      </c>
      <c r="B109">
        <v>272</v>
      </c>
      <c r="C109" s="1">
        <v>44319</v>
      </c>
      <c r="D109">
        <v>5</v>
      </c>
      <c r="E109">
        <v>123</v>
      </c>
    </row>
    <row r="110" spans="1:5" x14ac:dyDescent="0.25">
      <c r="A110" t="s">
        <v>105</v>
      </c>
      <c r="B110">
        <v>555</v>
      </c>
      <c r="C110" s="1">
        <v>44423</v>
      </c>
      <c r="D110">
        <v>8</v>
      </c>
      <c r="E110">
        <v>290</v>
      </c>
    </row>
    <row r="111" spans="1:5" x14ac:dyDescent="0.25">
      <c r="A111" t="s">
        <v>82</v>
      </c>
      <c r="B111">
        <v>1574</v>
      </c>
      <c r="C111" s="1">
        <v>43518</v>
      </c>
      <c r="D111">
        <v>2</v>
      </c>
      <c r="E111">
        <v>47</v>
      </c>
    </row>
    <row r="112" spans="1:5" x14ac:dyDescent="0.25">
      <c r="A112" t="s">
        <v>75</v>
      </c>
      <c r="B112">
        <v>469</v>
      </c>
      <c r="C112" s="1">
        <v>44044</v>
      </c>
      <c r="D112">
        <v>8</v>
      </c>
      <c r="E112">
        <v>310</v>
      </c>
    </row>
    <row r="113" spans="1:5" x14ac:dyDescent="0.25">
      <c r="A113" t="s">
        <v>72</v>
      </c>
      <c r="B113">
        <v>467</v>
      </c>
      <c r="C113" s="1">
        <v>44211</v>
      </c>
      <c r="D113">
        <v>1</v>
      </c>
      <c r="E113">
        <v>23</v>
      </c>
    </row>
    <row r="114" spans="1:5" x14ac:dyDescent="0.25">
      <c r="A114" t="s">
        <v>115</v>
      </c>
      <c r="B114">
        <v>806</v>
      </c>
      <c r="C114" s="1">
        <v>44271</v>
      </c>
      <c r="D114">
        <v>3</v>
      </c>
      <c r="E114">
        <v>248</v>
      </c>
    </row>
    <row r="115" spans="1:5" x14ac:dyDescent="0.25">
      <c r="A115" t="s">
        <v>80</v>
      </c>
      <c r="B115">
        <v>289</v>
      </c>
      <c r="C115" s="1">
        <v>43736</v>
      </c>
      <c r="D115">
        <v>9</v>
      </c>
      <c r="E115">
        <v>540</v>
      </c>
    </row>
    <row r="116" spans="1:5" x14ac:dyDescent="0.25">
      <c r="A116" t="s">
        <v>95</v>
      </c>
      <c r="B116">
        <v>1078</v>
      </c>
      <c r="C116" s="1">
        <v>44278</v>
      </c>
      <c r="D116">
        <v>3</v>
      </c>
      <c r="E116">
        <v>500</v>
      </c>
    </row>
    <row r="117" spans="1:5" x14ac:dyDescent="0.25">
      <c r="A117" t="s">
        <v>35</v>
      </c>
      <c r="B117">
        <v>310</v>
      </c>
      <c r="C117" s="1">
        <v>43119</v>
      </c>
      <c r="D117">
        <v>1</v>
      </c>
      <c r="E117">
        <v>146</v>
      </c>
    </row>
    <row r="118" spans="1:5" x14ac:dyDescent="0.25">
      <c r="A118" t="s">
        <v>102</v>
      </c>
      <c r="B118">
        <v>235</v>
      </c>
      <c r="C118" s="1">
        <v>44223</v>
      </c>
      <c r="D118">
        <v>1</v>
      </c>
      <c r="E118">
        <v>309</v>
      </c>
    </row>
    <row r="119" spans="1:5" x14ac:dyDescent="0.25">
      <c r="A119" t="s">
        <v>114</v>
      </c>
      <c r="B119">
        <v>140</v>
      </c>
      <c r="C119" s="1">
        <v>43473</v>
      </c>
      <c r="D119">
        <v>1</v>
      </c>
      <c r="E119">
        <v>119</v>
      </c>
    </row>
    <row r="120" spans="1:5" x14ac:dyDescent="0.25">
      <c r="A120" t="s">
        <v>41</v>
      </c>
      <c r="B120">
        <v>619</v>
      </c>
      <c r="C120" s="1">
        <v>44409</v>
      </c>
      <c r="D120">
        <v>8</v>
      </c>
      <c r="E120">
        <v>154</v>
      </c>
    </row>
    <row r="121" spans="1:5" x14ac:dyDescent="0.25">
      <c r="A121" t="s">
        <v>73</v>
      </c>
      <c r="B121">
        <v>977</v>
      </c>
      <c r="C121" s="1">
        <v>43206</v>
      </c>
      <c r="D121">
        <v>4</v>
      </c>
      <c r="E121">
        <v>310</v>
      </c>
    </row>
    <row r="122" spans="1:5" x14ac:dyDescent="0.25">
      <c r="A122" t="s">
        <v>116</v>
      </c>
      <c r="B122">
        <v>471</v>
      </c>
      <c r="C122" s="1">
        <v>43483</v>
      </c>
      <c r="D122">
        <v>1</v>
      </c>
      <c r="E122">
        <v>45</v>
      </c>
    </row>
    <row r="123" spans="1:5" x14ac:dyDescent="0.25">
      <c r="A123" t="s">
        <v>34</v>
      </c>
      <c r="B123">
        <v>177</v>
      </c>
      <c r="C123" s="1">
        <v>43985</v>
      </c>
      <c r="D123">
        <v>6</v>
      </c>
      <c r="E123">
        <v>57</v>
      </c>
    </row>
    <row r="124" spans="1:5" x14ac:dyDescent="0.25">
      <c r="A124" t="s">
        <v>97</v>
      </c>
      <c r="B124">
        <v>292</v>
      </c>
      <c r="C124" s="1">
        <v>44072</v>
      </c>
      <c r="D124">
        <v>8</v>
      </c>
      <c r="E124">
        <v>489</v>
      </c>
    </row>
    <row r="125" spans="1:5" x14ac:dyDescent="0.25">
      <c r="A125" t="s">
        <v>61</v>
      </c>
      <c r="B125">
        <v>766</v>
      </c>
      <c r="C125" s="1">
        <v>44206</v>
      </c>
      <c r="D125">
        <v>1</v>
      </c>
      <c r="E125">
        <v>526</v>
      </c>
    </row>
    <row r="126" spans="1:5" x14ac:dyDescent="0.25">
      <c r="A126" t="s">
        <v>74</v>
      </c>
      <c r="B126">
        <v>208</v>
      </c>
      <c r="C126" s="1">
        <v>42981</v>
      </c>
      <c r="D126">
        <v>9</v>
      </c>
      <c r="E126">
        <v>166</v>
      </c>
    </row>
    <row r="127" spans="1:5" x14ac:dyDescent="0.25">
      <c r="A127" t="s">
        <v>95</v>
      </c>
      <c r="B127">
        <v>1565</v>
      </c>
      <c r="C127" s="1">
        <v>43927</v>
      </c>
      <c r="D127">
        <v>4</v>
      </c>
      <c r="E127">
        <v>215</v>
      </c>
    </row>
    <row r="128" spans="1:5" x14ac:dyDescent="0.25">
      <c r="A128" t="s">
        <v>117</v>
      </c>
      <c r="B128">
        <v>345</v>
      </c>
      <c r="C128" s="1">
        <v>43612</v>
      </c>
      <c r="D128">
        <v>5</v>
      </c>
      <c r="E128">
        <v>508</v>
      </c>
    </row>
    <row r="129" spans="1:5" x14ac:dyDescent="0.25">
      <c r="A129" t="s">
        <v>80</v>
      </c>
      <c r="B129">
        <v>392</v>
      </c>
      <c r="C129" s="1">
        <v>44054</v>
      </c>
      <c r="D129">
        <v>8</v>
      </c>
      <c r="E129">
        <v>209</v>
      </c>
    </row>
    <row r="130" spans="1:5" x14ac:dyDescent="0.25">
      <c r="A130" t="s">
        <v>33</v>
      </c>
      <c r="B130">
        <v>492</v>
      </c>
      <c r="C130" s="1">
        <v>43034</v>
      </c>
      <c r="D130">
        <v>10</v>
      </c>
      <c r="E130">
        <v>162</v>
      </c>
    </row>
    <row r="131" spans="1:5" x14ac:dyDescent="0.25">
      <c r="A131" t="s">
        <v>51</v>
      </c>
      <c r="B131">
        <v>1314</v>
      </c>
      <c r="C131" s="1">
        <v>44269</v>
      </c>
      <c r="D131">
        <v>3</v>
      </c>
      <c r="E131">
        <v>11</v>
      </c>
    </row>
    <row r="132" spans="1:5" x14ac:dyDescent="0.25">
      <c r="A132" t="s">
        <v>53</v>
      </c>
      <c r="B132">
        <v>426</v>
      </c>
      <c r="C132" s="1">
        <v>43262</v>
      </c>
      <c r="D132">
        <v>6</v>
      </c>
      <c r="E132">
        <v>516</v>
      </c>
    </row>
    <row r="133" spans="1:5" x14ac:dyDescent="0.25">
      <c r="A133" t="s">
        <v>32</v>
      </c>
      <c r="B133">
        <v>1115</v>
      </c>
      <c r="C133" s="1">
        <v>43931</v>
      </c>
      <c r="D133">
        <v>4</v>
      </c>
      <c r="E133">
        <v>533</v>
      </c>
    </row>
    <row r="134" spans="1:5" x14ac:dyDescent="0.25">
      <c r="A134" t="s">
        <v>44</v>
      </c>
      <c r="B134">
        <v>604</v>
      </c>
      <c r="C134" s="1">
        <v>43784</v>
      </c>
      <c r="D134">
        <v>11</v>
      </c>
      <c r="E134">
        <v>374</v>
      </c>
    </row>
    <row r="135" spans="1:5" x14ac:dyDescent="0.25">
      <c r="A135" t="s">
        <v>117</v>
      </c>
      <c r="B135">
        <v>776</v>
      </c>
      <c r="C135" s="1">
        <v>43655</v>
      </c>
      <c r="D135">
        <v>7</v>
      </c>
      <c r="E135">
        <v>64</v>
      </c>
    </row>
    <row r="136" spans="1:5" x14ac:dyDescent="0.25">
      <c r="A136" t="s">
        <v>80</v>
      </c>
      <c r="B136">
        <v>580</v>
      </c>
      <c r="C136" s="1">
        <v>43307</v>
      </c>
      <c r="D136">
        <v>7</v>
      </c>
      <c r="E136">
        <v>132</v>
      </c>
    </row>
    <row r="137" spans="1:5" x14ac:dyDescent="0.25">
      <c r="A137" t="s">
        <v>63</v>
      </c>
      <c r="B137">
        <v>220</v>
      </c>
      <c r="C137" s="1">
        <v>43661</v>
      </c>
      <c r="D137">
        <v>7</v>
      </c>
      <c r="E137">
        <v>392</v>
      </c>
    </row>
    <row r="138" spans="1:5" x14ac:dyDescent="0.25">
      <c r="A138" t="s">
        <v>102</v>
      </c>
      <c r="B138">
        <v>1714</v>
      </c>
      <c r="C138" s="1">
        <v>44245</v>
      </c>
      <c r="D138">
        <v>2</v>
      </c>
      <c r="E138">
        <v>391</v>
      </c>
    </row>
    <row r="139" spans="1:5" x14ac:dyDescent="0.25">
      <c r="A139" t="s">
        <v>53</v>
      </c>
      <c r="B139">
        <v>798</v>
      </c>
      <c r="C139" s="1">
        <v>44172</v>
      </c>
      <c r="D139">
        <v>12</v>
      </c>
      <c r="E139">
        <v>53</v>
      </c>
    </row>
    <row r="140" spans="1:5" x14ac:dyDescent="0.25">
      <c r="A140" t="s">
        <v>104</v>
      </c>
      <c r="B140">
        <v>111</v>
      </c>
      <c r="C140" s="1">
        <v>43728</v>
      </c>
      <c r="D140">
        <v>9</v>
      </c>
      <c r="E140">
        <v>71</v>
      </c>
    </row>
    <row r="141" spans="1:5" x14ac:dyDescent="0.25">
      <c r="A141" t="s">
        <v>46</v>
      </c>
      <c r="B141">
        <v>789</v>
      </c>
      <c r="C141" s="1">
        <v>44167</v>
      </c>
      <c r="D141">
        <v>12</v>
      </c>
      <c r="E141">
        <v>345</v>
      </c>
    </row>
    <row r="142" spans="1:5" x14ac:dyDescent="0.25">
      <c r="A142" t="s">
        <v>114</v>
      </c>
      <c r="B142">
        <v>1189</v>
      </c>
      <c r="C142" s="1">
        <v>43585</v>
      </c>
      <c r="D142">
        <v>4</v>
      </c>
      <c r="E142">
        <v>364</v>
      </c>
    </row>
    <row r="143" spans="1:5" x14ac:dyDescent="0.25">
      <c r="A143" t="s">
        <v>118</v>
      </c>
      <c r="B143">
        <v>377</v>
      </c>
      <c r="C143" s="1">
        <v>43783</v>
      </c>
      <c r="D143">
        <v>11</v>
      </c>
      <c r="E143">
        <v>495</v>
      </c>
    </row>
    <row r="144" spans="1:5" x14ac:dyDescent="0.25">
      <c r="A144" t="s">
        <v>115</v>
      </c>
      <c r="B144">
        <v>219</v>
      </c>
      <c r="C144" s="1">
        <v>44003</v>
      </c>
      <c r="D144">
        <v>6</v>
      </c>
      <c r="E144">
        <v>172</v>
      </c>
    </row>
    <row r="145" spans="1:5" x14ac:dyDescent="0.25">
      <c r="A145" t="s">
        <v>114</v>
      </c>
      <c r="B145">
        <v>141</v>
      </c>
      <c r="C145" s="1">
        <v>43463</v>
      </c>
      <c r="D145">
        <v>12</v>
      </c>
      <c r="E145">
        <v>308</v>
      </c>
    </row>
    <row r="146" spans="1:5" x14ac:dyDescent="0.25">
      <c r="A146" t="s">
        <v>80</v>
      </c>
      <c r="B146">
        <v>1680</v>
      </c>
      <c r="C146" s="1">
        <v>43893</v>
      </c>
      <c r="D146">
        <v>3</v>
      </c>
      <c r="E146">
        <v>122</v>
      </c>
    </row>
    <row r="147" spans="1:5" x14ac:dyDescent="0.25">
      <c r="A147" t="s">
        <v>83</v>
      </c>
      <c r="B147">
        <v>409</v>
      </c>
      <c r="C147" s="1">
        <v>43968</v>
      </c>
      <c r="D147">
        <v>5</v>
      </c>
      <c r="E147">
        <v>61</v>
      </c>
    </row>
    <row r="148" spans="1:5" x14ac:dyDescent="0.25">
      <c r="A148" t="s">
        <v>46</v>
      </c>
      <c r="B148">
        <v>743</v>
      </c>
      <c r="C148" s="1">
        <v>44077</v>
      </c>
      <c r="D148">
        <v>9</v>
      </c>
      <c r="E148">
        <v>83</v>
      </c>
    </row>
    <row r="149" spans="1:5" x14ac:dyDescent="0.25">
      <c r="A149" t="s">
        <v>93</v>
      </c>
      <c r="B149">
        <v>270</v>
      </c>
      <c r="C149" s="1">
        <v>44092</v>
      </c>
      <c r="D149">
        <v>9</v>
      </c>
      <c r="E149">
        <v>105</v>
      </c>
    </row>
    <row r="150" spans="1:5" x14ac:dyDescent="0.25">
      <c r="A150" t="s">
        <v>90</v>
      </c>
      <c r="B150">
        <v>539</v>
      </c>
      <c r="C150" s="1">
        <v>44221</v>
      </c>
      <c r="D150">
        <v>1</v>
      </c>
      <c r="E150">
        <v>103</v>
      </c>
    </row>
    <row r="151" spans="1:5" x14ac:dyDescent="0.25">
      <c r="A151" t="s">
        <v>43</v>
      </c>
      <c r="B151">
        <v>107</v>
      </c>
      <c r="C151" s="1">
        <v>43836</v>
      </c>
      <c r="D151">
        <v>1</v>
      </c>
      <c r="E151">
        <v>322</v>
      </c>
    </row>
    <row r="152" spans="1:5" x14ac:dyDescent="0.25">
      <c r="A152" t="s">
        <v>72</v>
      </c>
      <c r="B152">
        <v>545</v>
      </c>
      <c r="C152" s="1">
        <v>44097</v>
      </c>
      <c r="D152">
        <v>9</v>
      </c>
      <c r="E152">
        <v>120</v>
      </c>
    </row>
    <row r="153" spans="1:5" x14ac:dyDescent="0.25">
      <c r="A153" t="s">
        <v>40</v>
      </c>
      <c r="B153">
        <v>511</v>
      </c>
      <c r="C153" s="1">
        <v>43799</v>
      </c>
      <c r="D153">
        <v>11</v>
      </c>
      <c r="E153">
        <v>369</v>
      </c>
    </row>
    <row r="154" spans="1:5" x14ac:dyDescent="0.25">
      <c r="C154" s="1"/>
    </row>
    <row r="155" spans="1:5" x14ac:dyDescent="0.25">
      <c r="C155" s="1"/>
    </row>
    <row r="156" spans="1:5" x14ac:dyDescent="0.25">
      <c r="C156" s="1"/>
    </row>
    <row r="157" spans="1:5" x14ac:dyDescent="0.25">
      <c r="C157" s="1"/>
    </row>
    <row r="158" spans="1:5" x14ac:dyDescent="0.25">
      <c r="C158" s="1"/>
    </row>
    <row r="159" spans="1:5" x14ac:dyDescent="0.25">
      <c r="C159" s="1"/>
    </row>
    <row r="160" spans="1:5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EDF4-21AE-44B5-92BE-057BBB82B70A}">
  <sheetPr codeName="Sheet11"/>
  <dimension ref="A1:E1001"/>
  <sheetViews>
    <sheetView topLeftCell="A127" workbookViewId="0">
      <selection activeCell="E151" sqref="E151"/>
    </sheetView>
  </sheetViews>
  <sheetFormatPr defaultRowHeight="15" x14ac:dyDescent="0.25"/>
  <cols>
    <col min="1" max="1" width="8.42578125" bestFit="1" customWidth="1"/>
    <col min="2" max="2" width="11.28515625" bestFit="1" customWidth="1"/>
    <col min="3" max="3" width="10.7109375" bestFit="1" customWidth="1"/>
    <col min="4" max="4" width="13.5703125" bestFit="1" customWidth="1"/>
    <col min="5" max="5" width="12.5703125" bestFit="1" customWidth="1"/>
    <col min="6" max="10" width="9.140625" customWidth="1"/>
  </cols>
  <sheetData>
    <row r="1" spans="1:5" x14ac:dyDescent="0.25">
      <c r="A1" t="s">
        <v>134</v>
      </c>
      <c r="B1" t="s">
        <v>141</v>
      </c>
      <c r="C1" t="s">
        <v>142</v>
      </c>
      <c r="D1" t="s">
        <v>152</v>
      </c>
      <c r="E1" t="s">
        <v>144</v>
      </c>
    </row>
    <row r="2" spans="1:5" x14ac:dyDescent="0.25">
      <c r="A2" t="s">
        <v>43</v>
      </c>
      <c r="B2">
        <v>1696</v>
      </c>
      <c r="C2" s="1">
        <v>43876</v>
      </c>
      <c r="D2">
        <v>2</v>
      </c>
      <c r="E2">
        <v>195</v>
      </c>
    </row>
    <row r="3" spans="1:5" x14ac:dyDescent="0.25">
      <c r="A3" t="s">
        <v>82</v>
      </c>
      <c r="B3">
        <v>622</v>
      </c>
      <c r="C3" s="1">
        <v>44094</v>
      </c>
      <c r="D3">
        <v>9</v>
      </c>
      <c r="E3">
        <v>111</v>
      </c>
    </row>
    <row r="4" spans="1:5" x14ac:dyDescent="0.25">
      <c r="A4" t="s">
        <v>116</v>
      </c>
      <c r="B4">
        <v>381</v>
      </c>
      <c r="C4" s="1">
        <v>43392</v>
      </c>
      <c r="D4">
        <v>10</v>
      </c>
      <c r="E4">
        <v>436</v>
      </c>
    </row>
    <row r="5" spans="1:5" x14ac:dyDescent="0.25">
      <c r="A5" t="s">
        <v>43</v>
      </c>
      <c r="B5">
        <v>279</v>
      </c>
      <c r="C5" s="1">
        <v>43779</v>
      </c>
      <c r="D5">
        <v>11</v>
      </c>
      <c r="E5">
        <v>153</v>
      </c>
    </row>
    <row r="6" spans="1:5" x14ac:dyDescent="0.25">
      <c r="A6" t="s">
        <v>63</v>
      </c>
      <c r="B6">
        <v>425</v>
      </c>
      <c r="C6" s="1">
        <v>44039</v>
      </c>
      <c r="D6">
        <v>7</v>
      </c>
      <c r="E6">
        <v>115</v>
      </c>
    </row>
    <row r="7" spans="1:5" x14ac:dyDescent="0.25">
      <c r="A7" t="s">
        <v>45</v>
      </c>
      <c r="B7">
        <v>734</v>
      </c>
      <c r="C7" s="1">
        <v>43574</v>
      </c>
      <c r="D7">
        <v>4</v>
      </c>
      <c r="E7">
        <v>413</v>
      </c>
    </row>
    <row r="8" spans="1:5" x14ac:dyDescent="0.25">
      <c r="A8" t="s">
        <v>74</v>
      </c>
      <c r="B8">
        <v>729</v>
      </c>
      <c r="C8" s="1">
        <v>43309</v>
      </c>
      <c r="D8">
        <v>7</v>
      </c>
      <c r="E8">
        <v>265</v>
      </c>
    </row>
    <row r="9" spans="1:5" x14ac:dyDescent="0.25">
      <c r="A9" t="s">
        <v>93</v>
      </c>
      <c r="B9">
        <v>1582</v>
      </c>
      <c r="C9" s="1">
        <v>44269</v>
      </c>
      <c r="D9">
        <v>3</v>
      </c>
      <c r="E9">
        <v>450</v>
      </c>
    </row>
    <row r="10" spans="1:5" x14ac:dyDescent="0.25">
      <c r="A10" t="s">
        <v>61</v>
      </c>
      <c r="B10">
        <v>768</v>
      </c>
      <c r="C10" s="1">
        <v>43463</v>
      </c>
      <c r="D10">
        <v>12</v>
      </c>
      <c r="E10">
        <v>435</v>
      </c>
    </row>
    <row r="11" spans="1:5" x14ac:dyDescent="0.25">
      <c r="A11" t="s">
        <v>61</v>
      </c>
      <c r="B11">
        <v>249</v>
      </c>
      <c r="C11" s="1">
        <v>44006</v>
      </c>
      <c r="D11">
        <v>6</v>
      </c>
      <c r="E11">
        <v>458</v>
      </c>
    </row>
    <row r="12" spans="1:5" x14ac:dyDescent="0.25">
      <c r="A12" t="s">
        <v>47</v>
      </c>
      <c r="B12">
        <v>1843</v>
      </c>
      <c r="C12" s="1">
        <v>43172</v>
      </c>
      <c r="D12">
        <v>3</v>
      </c>
      <c r="E12">
        <v>340</v>
      </c>
    </row>
    <row r="13" spans="1:5" x14ac:dyDescent="0.25">
      <c r="A13" t="s">
        <v>45</v>
      </c>
      <c r="B13">
        <v>1469</v>
      </c>
      <c r="C13" s="1">
        <v>44272</v>
      </c>
      <c r="D13">
        <v>3</v>
      </c>
      <c r="E13">
        <v>68</v>
      </c>
    </row>
    <row r="14" spans="1:5" x14ac:dyDescent="0.25">
      <c r="A14" t="s">
        <v>115</v>
      </c>
      <c r="B14">
        <v>295</v>
      </c>
      <c r="C14" s="1">
        <v>43963</v>
      </c>
      <c r="D14">
        <v>5</v>
      </c>
      <c r="E14">
        <v>244</v>
      </c>
    </row>
    <row r="15" spans="1:5" x14ac:dyDescent="0.25">
      <c r="A15" t="s">
        <v>82</v>
      </c>
      <c r="B15">
        <v>917</v>
      </c>
      <c r="C15" s="1">
        <v>44306</v>
      </c>
      <c r="D15">
        <v>4</v>
      </c>
      <c r="E15">
        <v>180</v>
      </c>
    </row>
    <row r="16" spans="1:5" x14ac:dyDescent="0.25">
      <c r="A16" t="s">
        <v>102</v>
      </c>
      <c r="B16">
        <v>171</v>
      </c>
      <c r="C16" s="1">
        <v>44159</v>
      </c>
      <c r="D16">
        <v>11</v>
      </c>
      <c r="E16">
        <v>441</v>
      </c>
    </row>
    <row r="17" spans="1:5" x14ac:dyDescent="0.25">
      <c r="A17" t="s">
        <v>60</v>
      </c>
      <c r="B17">
        <v>1662</v>
      </c>
      <c r="C17" s="1">
        <v>44291</v>
      </c>
      <c r="D17">
        <v>4</v>
      </c>
      <c r="E17">
        <v>117</v>
      </c>
    </row>
    <row r="18" spans="1:5" x14ac:dyDescent="0.25">
      <c r="A18" t="s">
        <v>95</v>
      </c>
      <c r="B18">
        <v>150</v>
      </c>
      <c r="C18" s="1">
        <v>44082</v>
      </c>
      <c r="D18">
        <v>9</v>
      </c>
      <c r="E18">
        <v>481</v>
      </c>
    </row>
    <row r="19" spans="1:5" x14ac:dyDescent="0.25">
      <c r="A19" t="s">
        <v>40</v>
      </c>
      <c r="B19">
        <v>633</v>
      </c>
      <c r="C19" s="1">
        <v>43651</v>
      </c>
      <c r="D19">
        <v>7</v>
      </c>
      <c r="E19">
        <v>600</v>
      </c>
    </row>
    <row r="20" spans="1:5" x14ac:dyDescent="0.25">
      <c r="A20" t="s">
        <v>73</v>
      </c>
      <c r="B20">
        <v>466</v>
      </c>
      <c r="C20" s="1">
        <v>44103</v>
      </c>
      <c r="D20">
        <v>9</v>
      </c>
      <c r="E20">
        <v>436</v>
      </c>
    </row>
    <row r="21" spans="1:5" x14ac:dyDescent="0.25">
      <c r="A21" t="s">
        <v>53</v>
      </c>
      <c r="B21">
        <v>402</v>
      </c>
      <c r="C21" s="1">
        <v>43633</v>
      </c>
      <c r="D21">
        <v>6</v>
      </c>
      <c r="E21">
        <v>405</v>
      </c>
    </row>
    <row r="22" spans="1:5" x14ac:dyDescent="0.25">
      <c r="A22" t="s">
        <v>97</v>
      </c>
      <c r="B22">
        <v>178</v>
      </c>
      <c r="C22" s="1">
        <v>42569</v>
      </c>
      <c r="D22">
        <v>7</v>
      </c>
      <c r="E22">
        <v>473</v>
      </c>
    </row>
    <row r="23" spans="1:5" x14ac:dyDescent="0.25">
      <c r="A23" t="s">
        <v>115</v>
      </c>
      <c r="B23">
        <v>615</v>
      </c>
      <c r="C23" s="1">
        <v>44054</v>
      </c>
      <c r="D23">
        <v>8</v>
      </c>
      <c r="E23">
        <v>275</v>
      </c>
    </row>
    <row r="24" spans="1:5" x14ac:dyDescent="0.25">
      <c r="A24" t="s">
        <v>91</v>
      </c>
      <c r="B24">
        <v>405</v>
      </c>
      <c r="C24" s="1">
        <v>43704</v>
      </c>
      <c r="D24">
        <v>8</v>
      </c>
      <c r="E24">
        <v>505</v>
      </c>
    </row>
    <row r="25" spans="1:5" x14ac:dyDescent="0.25">
      <c r="A25" t="s">
        <v>64</v>
      </c>
      <c r="B25">
        <v>457</v>
      </c>
      <c r="C25" s="1">
        <v>43699</v>
      </c>
      <c r="D25">
        <v>8</v>
      </c>
      <c r="E25">
        <v>477</v>
      </c>
    </row>
    <row r="26" spans="1:5" x14ac:dyDescent="0.25">
      <c r="A26" t="s">
        <v>40</v>
      </c>
      <c r="B26">
        <v>117</v>
      </c>
      <c r="C26" s="1">
        <v>44201</v>
      </c>
      <c r="D26">
        <v>1</v>
      </c>
      <c r="E26">
        <v>414</v>
      </c>
    </row>
    <row r="27" spans="1:5" x14ac:dyDescent="0.25">
      <c r="A27" t="s">
        <v>116</v>
      </c>
      <c r="B27">
        <v>147</v>
      </c>
      <c r="C27" s="1">
        <v>43351</v>
      </c>
      <c r="D27">
        <v>9</v>
      </c>
      <c r="E27">
        <v>207</v>
      </c>
    </row>
    <row r="28" spans="1:5" x14ac:dyDescent="0.25">
      <c r="A28" t="s">
        <v>102</v>
      </c>
      <c r="B28">
        <v>146</v>
      </c>
      <c r="C28" s="1">
        <v>43699</v>
      </c>
      <c r="D28">
        <v>8</v>
      </c>
      <c r="E28">
        <v>423</v>
      </c>
    </row>
    <row r="29" spans="1:5" x14ac:dyDescent="0.25">
      <c r="A29" t="s">
        <v>113</v>
      </c>
      <c r="B29">
        <v>1924</v>
      </c>
      <c r="C29" s="1">
        <v>44293</v>
      </c>
      <c r="D29">
        <v>4</v>
      </c>
      <c r="E29">
        <v>123</v>
      </c>
    </row>
    <row r="30" spans="1:5" x14ac:dyDescent="0.25">
      <c r="A30" t="s">
        <v>74</v>
      </c>
      <c r="B30">
        <v>391</v>
      </c>
      <c r="C30" s="1">
        <v>42921</v>
      </c>
      <c r="D30">
        <v>7</v>
      </c>
      <c r="E30">
        <v>274</v>
      </c>
    </row>
    <row r="31" spans="1:5" x14ac:dyDescent="0.25">
      <c r="A31" t="s">
        <v>103</v>
      </c>
      <c r="B31">
        <v>132</v>
      </c>
      <c r="C31" s="1">
        <v>44439</v>
      </c>
      <c r="D31">
        <v>8</v>
      </c>
      <c r="E31">
        <v>550</v>
      </c>
    </row>
    <row r="32" spans="1:5" x14ac:dyDescent="0.25">
      <c r="A32" t="s">
        <v>117</v>
      </c>
      <c r="B32">
        <v>1098</v>
      </c>
      <c r="C32" s="1">
        <v>43884</v>
      </c>
      <c r="D32">
        <v>2</v>
      </c>
      <c r="E32">
        <v>16</v>
      </c>
    </row>
    <row r="33" spans="1:5" x14ac:dyDescent="0.25">
      <c r="A33" t="s">
        <v>73</v>
      </c>
      <c r="B33">
        <v>771</v>
      </c>
      <c r="C33" s="1">
        <v>43365</v>
      </c>
      <c r="D33">
        <v>9</v>
      </c>
      <c r="E33">
        <v>211</v>
      </c>
    </row>
    <row r="34" spans="1:5" x14ac:dyDescent="0.25">
      <c r="A34" t="s">
        <v>32</v>
      </c>
      <c r="B34">
        <v>771</v>
      </c>
      <c r="C34" s="1">
        <v>43700</v>
      </c>
      <c r="D34">
        <v>8</v>
      </c>
      <c r="E34">
        <v>553</v>
      </c>
    </row>
    <row r="35" spans="1:5" x14ac:dyDescent="0.25">
      <c r="A35" t="s">
        <v>105</v>
      </c>
      <c r="B35">
        <v>1657</v>
      </c>
      <c r="C35" s="1">
        <v>43874</v>
      </c>
      <c r="D35">
        <v>2</v>
      </c>
      <c r="E35">
        <v>341</v>
      </c>
    </row>
    <row r="36" spans="1:5" x14ac:dyDescent="0.25">
      <c r="A36" t="s">
        <v>51</v>
      </c>
      <c r="B36">
        <v>171</v>
      </c>
      <c r="C36" s="1">
        <v>42923</v>
      </c>
      <c r="D36">
        <v>7</v>
      </c>
      <c r="E36">
        <v>463</v>
      </c>
    </row>
    <row r="37" spans="1:5" x14ac:dyDescent="0.25">
      <c r="A37" t="s">
        <v>31</v>
      </c>
      <c r="B37">
        <v>797</v>
      </c>
      <c r="C37" s="1">
        <v>43681</v>
      </c>
      <c r="D37">
        <v>8</v>
      </c>
      <c r="E37">
        <v>203</v>
      </c>
    </row>
    <row r="38" spans="1:5" x14ac:dyDescent="0.25">
      <c r="A38" t="s">
        <v>41</v>
      </c>
      <c r="B38">
        <v>289</v>
      </c>
      <c r="C38" s="1">
        <v>44109</v>
      </c>
      <c r="D38">
        <v>10</v>
      </c>
      <c r="E38">
        <v>575</v>
      </c>
    </row>
    <row r="39" spans="1:5" x14ac:dyDescent="0.25">
      <c r="A39" t="s">
        <v>70</v>
      </c>
      <c r="B39">
        <v>488</v>
      </c>
      <c r="C39" s="1">
        <v>44042</v>
      </c>
      <c r="D39">
        <v>7</v>
      </c>
      <c r="E39">
        <v>174</v>
      </c>
    </row>
    <row r="40" spans="1:5" x14ac:dyDescent="0.25">
      <c r="A40" t="s">
        <v>41</v>
      </c>
      <c r="B40">
        <v>916</v>
      </c>
      <c r="C40" s="1">
        <v>43525</v>
      </c>
      <c r="D40">
        <v>3</v>
      </c>
      <c r="E40">
        <v>333</v>
      </c>
    </row>
    <row r="41" spans="1:5" x14ac:dyDescent="0.25">
      <c r="A41" t="s">
        <v>41</v>
      </c>
      <c r="B41">
        <v>450</v>
      </c>
      <c r="C41" s="1">
        <v>43233</v>
      </c>
      <c r="D41">
        <v>5</v>
      </c>
      <c r="E41">
        <v>266</v>
      </c>
    </row>
    <row r="42" spans="1:5" x14ac:dyDescent="0.25">
      <c r="A42" t="s">
        <v>45</v>
      </c>
      <c r="B42">
        <v>427</v>
      </c>
      <c r="C42" s="1">
        <v>43592</v>
      </c>
      <c r="D42">
        <v>5</v>
      </c>
      <c r="E42">
        <v>85</v>
      </c>
    </row>
    <row r="43" spans="1:5" x14ac:dyDescent="0.25">
      <c r="A43" t="s">
        <v>81</v>
      </c>
      <c r="B43">
        <v>772</v>
      </c>
      <c r="C43" s="1">
        <v>44025</v>
      </c>
      <c r="D43">
        <v>7</v>
      </c>
      <c r="E43">
        <v>346</v>
      </c>
    </row>
    <row r="44" spans="1:5" x14ac:dyDescent="0.25">
      <c r="A44" t="s">
        <v>102</v>
      </c>
      <c r="B44">
        <v>445</v>
      </c>
      <c r="C44" s="1">
        <v>44345</v>
      </c>
      <c r="D44">
        <v>5</v>
      </c>
      <c r="E44">
        <v>2</v>
      </c>
    </row>
    <row r="45" spans="1:5" x14ac:dyDescent="0.25">
      <c r="A45" t="s">
        <v>62</v>
      </c>
      <c r="B45">
        <v>221</v>
      </c>
      <c r="C45" s="1">
        <v>43729</v>
      </c>
      <c r="D45">
        <v>9</v>
      </c>
      <c r="E45">
        <v>460</v>
      </c>
    </row>
    <row r="46" spans="1:5" x14ac:dyDescent="0.25">
      <c r="A46" t="s">
        <v>117</v>
      </c>
      <c r="B46">
        <v>270</v>
      </c>
      <c r="C46" s="1">
        <v>43638</v>
      </c>
      <c r="D46">
        <v>6</v>
      </c>
      <c r="E46">
        <v>475</v>
      </c>
    </row>
    <row r="47" spans="1:5" x14ac:dyDescent="0.25">
      <c r="A47" t="s">
        <v>92</v>
      </c>
      <c r="B47">
        <v>560</v>
      </c>
      <c r="C47" s="1">
        <v>43453</v>
      </c>
      <c r="D47">
        <v>12</v>
      </c>
      <c r="E47">
        <v>132</v>
      </c>
    </row>
    <row r="48" spans="1:5" x14ac:dyDescent="0.25">
      <c r="A48" t="s">
        <v>33</v>
      </c>
      <c r="B48">
        <v>222</v>
      </c>
      <c r="C48" s="1">
        <v>43375</v>
      </c>
      <c r="D48">
        <v>10</v>
      </c>
      <c r="E48">
        <v>280</v>
      </c>
    </row>
    <row r="49" spans="1:5" x14ac:dyDescent="0.25">
      <c r="A49" t="s">
        <v>43</v>
      </c>
      <c r="B49">
        <v>402</v>
      </c>
      <c r="C49" s="1">
        <v>44129</v>
      </c>
      <c r="D49">
        <v>10</v>
      </c>
      <c r="E49">
        <v>461</v>
      </c>
    </row>
    <row r="50" spans="1:5" x14ac:dyDescent="0.25">
      <c r="A50" t="s">
        <v>46</v>
      </c>
      <c r="B50">
        <v>1183</v>
      </c>
      <c r="C50" s="1">
        <v>44316</v>
      </c>
      <c r="D50">
        <v>4</v>
      </c>
      <c r="E50">
        <v>413</v>
      </c>
    </row>
    <row r="51" spans="1:5" x14ac:dyDescent="0.25">
      <c r="A51" t="s">
        <v>74</v>
      </c>
      <c r="B51">
        <v>334</v>
      </c>
      <c r="C51" s="1">
        <v>42365</v>
      </c>
      <c r="D51">
        <v>12</v>
      </c>
      <c r="E51">
        <v>110</v>
      </c>
    </row>
    <row r="52" spans="1:5" x14ac:dyDescent="0.25">
      <c r="A52" t="s">
        <v>83</v>
      </c>
      <c r="B52">
        <v>245</v>
      </c>
      <c r="C52" s="1">
        <v>44172</v>
      </c>
      <c r="D52">
        <v>12</v>
      </c>
      <c r="E52">
        <v>146</v>
      </c>
    </row>
    <row r="53" spans="1:5" x14ac:dyDescent="0.25">
      <c r="A53" t="s">
        <v>80</v>
      </c>
      <c r="B53">
        <v>374</v>
      </c>
      <c r="C53" s="1">
        <v>43467</v>
      </c>
      <c r="D53">
        <v>1</v>
      </c>
      <c r="E53">
        <v>551</v>
      </c>
    </row>
    <row r="54" spans="1:5" x14ac:dyDescent="0.25">
      <c r="A54" t="s">
        <v>104</v>
      </c>
      <c r="B54">
        <v>881</v>
      </c>
      <c r="C54" s="1">
        <v>43908</v>
      </c>
      <c r="D54">
        <v>3</v>
      </c>
      <c r="E54">
        <v>449</v>
      </c>
    </row>
    <row r="55" spans="1:5" x14ac:dyDescent="0.25">
      <c r="A55" t="s">
        <v>105</v>
      </c>
      <c r="B55">
        <v>1431</v>
      </c>
      <c r="C55" s="1">
        <v>43544</v>
      </c>
      <c r="D55">
        <v>3</v>
      </c>
      <c r="E55">
        <v>512</v>
      </c>
    </row>
    <row r="56" spans="1:5" x14ac:dyDescent="0.25">
      <c r="A56" t="s">
        <v>63</v>
      </c>
      <c r="B56">
        <v>218</v>
      </c>
      <c r="C56" s="1">
        <v>44399</v>
      </c>
      <c r="D56">
        <v>7</v>
      </c>
      <c r="E56">
        <v>96</v>
      </c>
    </row>
    <row r="57" spans="1:5" x14ac:dyDescent="0.25">
      <c r="A57" t="s">
        <v>51</v>
      </c>
      <c r="B57">
        <v>242</v>
      </c>
      <c r="C57" s="1">
        <v>43389</v>
      </c>
      <c r="D57">
        <v>10</v>
      </c>
      <c r="E57">
        <v>455</v>
      </c>
    </row>
    <row r="58" spans="1:5" x14ac:dyDescent="0.25">
      <c r="A58" t="s">
        <v>116</v>
      </c>
      <c r="B58">
        <v>490</v>
      </c>
      <c r="C58" s="1">
        <v>43712</v>
      </c>
      <c r="D58">
        <v>9</v>
      </c>
      <c r="E58">
        <v>401</v>
      </c>
    </row>
    <row r="59" spans="1:5" x14ac:dyDescent="0.25">
      <c r="A59" t="s">
        <v>81</v>
      </c>
      <c r="B59">
        <v>481</v>
      </c>
      <c r="C59" s="1">
        <v>44070</v>
      </c>
      <c r="D59">
        <v>8</v>
      </c>
      <c r="E59">
        <v>586</v>
      </c>
    </row>
    <row r="60" spans="1:5" x14ac:dyDescent="0.25">
      <c r="A60" t="s">
        <v>62</v>
      </c>
      <c r="B60">
        <v>678</v>
      </c>
      <c r="C60" s="1">
        <v>44102</v>
      </c>
      <c r="D60">
        <v>9</v>
      </c>
      <c r="E60">
        <v>97</v>
      </c>
    </row>
    <row r="61" spans="1:5" x14ac:dyDescent="0.25">
      <c r="A61" t="s">
        <v>32</v>
      </c>
      <c r="B61">
        <v>495</v>
      </c>
      <c r="C61" s="1">
        <v>43456</v>
      </c>
      <c r="D61">
        <v>12</v>
      </c>
      <c r="E61">
        <v>248</v>
      </c>
    </row>
    <row r="62" spans="1:5" x14ac:dyDescent="0.25">
      <c r="A62" t="s">
        <v>53</v>
      </c>
      <c r="B62">
        <v>1406</v>
      </c>
      <c r="C62" s="1">
        <v>43901</v>
      </c>
      <c r="D62">
        <v>3</v>
      </c>
      <c r="E62">
        <v>446</v>
      </c>
    </row>
    <row r="63" spans="1:5" x14ac:dyDescent="0.25">
      <c r="A63" t="s">
        <v>104</v>
      </c>
      <c r="B63">
        <v>331</v>
      </c>
      <c r="C63" s="1">
        <v>44367</v>
      </c>
      <c r="D63">
        <v>6</v>
      </c>
      <c r="E63">
        <v>322</v>
      </c>
    </row>
    <row r="64" spans="1:5" x14ac:dyDescent="0.25">
      <c r="A64" t="s">
        <v>102</v>
      </c>
      <c r="B64">
        <v>727</v>
      </c>
      <c r="C64" s="1">
        <v>44234</v>
      </c>
      <c r="D64">
        <v>2</v>
      </c>
      <c r="E64">
        <v>363</v>
      </c>
    </row>
    <row r="65" spans="1:5" x14ac:dyDescent="0.25">
      <c r="A65" t="s">
        <v>33</v>
      </c>
      <c r="B65">
        <v>173</v>
      </c>
      <c r="C65" s="1">
        <v>44120</v>
      </c>
      <c r="D65">
        <v>10</v>
      </c>
      <c r="E65">
        <v>101</v>
      </c>
    </row>
    <row r="66" spans="1:5" x14ac:dyDescent="0.25">
      <c r="A66" t="s">
        <v>115</v>
      </c>
      <c r="B66">
        <v>459</v>
      </c>
      <c r="C66" s="1">
        <v>43987</v>
      </c>
      <c r="D66">
        <v>6</v>
      </c>
      <c r="E66">
        <v>459</v>
      </c>
    </row>
    <row r="67" spans="1:5" x14ac:dyDescent="0.25">
      <c r="A67" t="s">
        <v>83</v>
      </c>
      <c r="B67">
        <v>1990</v>
      </c>
      <c r="C67" s="1">
        <v>43896</v>
      </c>
      <c r="D67">
        <v>3</v>
      </c>
      <c r="E67">
        <v>437</v>
      </c>
    </row>
    <row r="68" spans="1:5" x14ac:dyDescent="0.25">
      <c r="A68" t="s">
        <v>117</v>
      </c>
      <c r="B68">
        <v>665</v>
      </c>
      <c r="C68" s="1">
        <v>43912</v>
      </c>
      <c r="D68">
        <v>3</v>
      </c>
      <c r="E68">
        <v>288</v>
      </c>
    </row>
    <row r="69" spans="1:5" x14ac:dyDescent="0.25">
      <c r="A69" t="s">
        <v>74</v>
      </c>
      <c r="B69">
        <v>1599</v>
      </c>
      <c r="C69" s="1">
        <v>42405</v>
      </c>
      <c r="D69">
        <v>2</v>
      </c>
      <c r="E69">
        <v>417</v>
      </c>
    </row>
    <row r="70" spans="1:5" x14ac:dyDescent="0.25">
      <c r="A70" t="s">
        <v>51</v>
      </c>
      <c r="B70">
        <v>747</v>
      </c>
      <c r="C70" s="1">
        <v>44430</v>
      </c>
      <c r="D70">
        <v>8</v>
      </c>
      <c r="E70">
        <v>298</v>
      </c>
    </row>
    <row r="71" spans="1:5" x14ac:dyDescent="0.25">
      <c r="A71" t="s">
        <v>35</v>
      </c>
      <c r="B71">
        <v>453</v>
      </c>
      <c r="C71" s="1">
        <v>43451</v>
      </c>
      <c r="D71">
        <v>12</v>
      </c>
      <c r="E71">
        <v>10</v>
      </c>
    </row>
    <row r="72" spans="1:5" x14ac:dyDescent="0.25">
      <c r="A72" t="s">
        <v>34</v>
      </c>
      <c r="B72">
        <v>322</v>
      </c>
      <c r="C72" s="1">
        <v>43850</v>
      </c>
      <c r="D72">
        <v>1</v>
      </c>
      <c r="E72">
        <v>308</v>
      </c>
    </row>
    <row r="73" spans="1:5" x14ac:dyDescent="0.25">
      <c r="A73" t="s">
        <v>31</v>
      </c>
      <c r="B73">
        <v>750</v>
      </c>
      <c r="C73" s="1">
        <v>44322</v>
      </c>
      <c r="D73">
        <v>5</v>
      </c>
      <c r="E73">
        <v>404</v>
      </c>
    </row>
    <row r="74" spans="1:5" x14ac:dyDescent="0.25">
      <c r="A74" t="s">
        <v>31</v>
      </c>
      <c r="B74">
        <v>210</v>
      </c>
      <c r="C74" s="1">
        <v>43471</v>
      </c>
      <c r="D74">
        <v>1</v>
      </c>
      <c r="E74">
        <v>94</v>
      </c>
    </row>
    <row r="75" spans="1:5" x14ac:dyDescent="0.25">
      <c r="A75" t="s">
        <v>89</v>
      </c>
      <c r="B75">
        <v>673</v>
      </c>
      <c r="C75" s="1">
        <v>44041</v>
      </c>
      <c r="D75">
        <v>7</v>
      </c>
      <c r="E75">
        <v>270</v>
      </c>
    </row>
    <row r="76" spans="1:5" x14ac:dyDescent="0.25">
      <c r="A76" t="s">
        <v>52</v>
      </c>
      <c r="B76">
        <v>1435</v>
      </c>
      <c r="C76" s="1">
        <v>43946</v>
      </c>
      <c r="D76">
        <v>4</v>
      </c>
      <c r="E76">
        <v>210</v>
      </c>
    </row>
    <row r="77" spans="1:5" x14ac:dyDescent="0.25">
      <c r="A77" t="s">
        <v>45</v>
      </c>
      <c r="B77">
        <v>482</v>
      </c>
      <c r="C77" s="1">
        <v>43812</v>
      </c>
      <c r="D77">
        <v>12</v>
      </c>
      <c r="E77">
        <v>113</v>
      </c>
    </row>
    <row r="78" spans="1:5" x14ac:dyDescent="0.25">
      <c r="A78" t="s">
        <v>114</v>
      </c>
      <c r="B78">
        <v>1940</v>
      </c>
      <c r="C78" s="1">
        <v>43134</v>
      </c>
      <c r="D78">
        <v>2</v>
      </c>
      <c r="E78">
        <v>456</v>
      </c>
    </row>
    <row r="79" spans="1:5" x14ac:dyDescent="0.25">
      <c r="A79" t="s">
        <v>102</v>
      </c>
      <c r="B79">
        <v>173</v>
      </c>
      <c r="C79" s="1">
        <v>44006</v>
      </c>
      <c r="D79">
        <v>6</v>
      </c>
      <c r="E79">
        <v>281</v>
      </c>
    </row>
    <row r="80" spans="1:5" x14ac:dyDescent="0.25">
      <c r="A80" t="s">
        <v>81</v>
      </c>
      <c r="B80">
        <v>770</v>
      </c>
      <c r="C80" s="1">
        <v>44175</v>
      </c>
      <c r="D80">
        <v>12</v>
      </c>
      <c r="E80">
        <v>136</v>
      </c>
    </row>
    <row r="81" spans="1:5" x14ac:dyDescent="0.25">
      <c r="A81" t="s">
        <v>33</v>
      </c>
      <c r="B81">
        <v>933</v>
      </c>
      <c r="C81" s="1">
        <v>43172</v>
      </c>
      <c r="D81">
        <v>3</v>
      </c>
      <c r="E81">
        <v>249</v>
      </c>
    </row>
    <row r="82" spans="1:5" x14ac:dyDescent="0.25">
      <c r="A82" t="s">
        <v>71</v>
      </c>
      <c r="B82">
        <v>1025</v>
      </c>
      <c r="C82" s="1">
        <v>44315</v>
      </c>
      <c r="D82">
        <v>4</v>
      </c>
      <c r="E82">
        <v>267</v>
      </c>
    </row>
    <row r="83" spans="1:5" x14ac:dyDescent="0.25">
      <c r="A83" t="s">
        <v>41</v>
      </c>
      <c r="B83">
        <v>146</v>
      </c>
      <c r="C83" s="1">
        <v>44060</v>
      </c>
      <c r="D83">
        <v>8</v>
      </c>
      <c r="E83">
        <v>26</v>
      </c>
    </row>
    <row r="84" spans="1:5" x14ac:dyDescent="0.25">
      <c r="A84" t="s">
        <v>90</v>
      </c>
      <c r="B84">
        <v>304</v>
      </c>
      <c r="C84" s="1">
        <v>44181</v>
      </c>
      <c r="D84">
        <v>12</v>
      </c>
      <c r="E84">
        <v>193</v>
      </c>
    </row>
    <row r="85" spans="1:5" x14ac:dyDescent="0.25">
      <c r="A85" t="s">
        <v>51</v>
      </c>
      <c r="B85">
        <v>1144</v>
      </c>
      <c r="C85" s="1">
        <v>42788</v>
      </c>
      <c r="D85">
        <v>2</v>
      </c>
      <c r="E85">
        <v>480</v>
      </c>
    </row>
    <row r="86" spans="1:5" x14ac:dyDescent="0.25">
      <c r="A86" t="s">
        <v>82</v>
      </c>
      <c r="B86">
        <v>816</v>
      </c>
      <c r="C86" s="1">
        <v>44264</v>
      </c>
      <c r="D86">
        <v>3</v>
      </c>
      <c r="E86">
        <v>203</v>
      </c>
    </row>
    <row r="87" spans="1:5" x14ac:dyDescent="0.25">
      <c r="A87" t="s">
        <v>47</v>
      </c>
      <c r="B87">
        <v>168</v>
      </c>
      <c r="C87" s="1">
        <v>44003</v>
      </c>
      <c r="D87">
        <v>6</v>
      </c>
      <c r="E87">
        <v>495</v>
      </c>
    </row>
    <row r="88" spans="1:5" x14ac:dyDescent="0.25">
      <c r="A88" t="s">
        <v>116</v>
      </c>
      <c r="B88">
        <v>523</v>
      </c>
      <c r="C88" s="1">
        <v>42380</v>
      </c>
      <c r="D88">
        <v>1</v>
      </c>
      <c r="E88">
        <v>364</v>
      </c>
    </row>
    <row r="89" spans="1:5" x14ac:dyDescent="0.25">
      <c r="A89" t="s">
        <v>53</v>
      </c>
      <c r="B89">
        <v>464</v>
      </c>
      <c r="C89" s="1">
        <v>42868</v>
      </c>
      <c r="D89">
        <v>5</v>
      </c>
      <c r="E89">
        <v>127</v>
      </c>
    </row>
    <row r="90" spans="1:5" x14ac:dyDescent="0.25">
      <c r="A90" t="s">
        <v>113</v>
      </c>
      <c r="B90">
        <v>794</v>
      </c>
      <c r="C90" s="1">
        <v>44321</v>
      </c>
      <c r="D90">
        <v>5</v>
      </c>
      <c r="E90">
        <v>54</v>
      </c>
    </row>
    <row r="91" spans="1:5" x14ac:dyDescent="0.25">
      <c r="A91" t="s">
        <v>117</v>
      </c>
      <c r="B91">
        <v>500</v>
      </c>
      <c r="C91" s="1">
        <v>43673</v>
      </c>
      <c r="D91">
        <v>7</v>
      </c>
      <c r="E91">
        <v>424</v>
      </c>
    </row>
    <row r="92" spans="1:5" x14ac:dyDescent="0.25">
      <c r="A92" t="s">
        <v>32</v>
      </c>
      <c r="B92">
        <v>739</v>
      </c>
      <c r="C92" s="1">
        <v>43960</v>
      </c>
      <c r="D92">
        <v>5</v>
      </c>
      <c r="E92">
        <v>306</v>
      </c>
    </row>
    <row r="93" spans="1:5" x14ac:dyDescent="0.25">
      <c r="A93" t="s">
        <v>43</v>
      </c>
      <c r="B93">
        <v>694</v>
      </c>
      <c r="C93" s="1">
        <v>44285</v>
      </c>
      <c r="D93">
        <v>3</v>
      </c>
      <c r="E93">
        <v>290</v>
      </c>
    </row>
    <row r="94" spans="1:5" x14ac:dyDescent="0.25">
      <c r="A94" t="s">
        <v>43</v>
      </c>
      <c r="B94">
        <v>375</v>
      </c>
      <c r="C94" s="1">
        <v>44189</v>
      </c>
      <c r="D94">
        <v>12</v>
      </c>
      <c r="E94">
        <v>408</v>
      </c>
    </row>
    <row r="95" spans="1:5" x14ac:dyDescent="0.25">
      <c r="A95" t="s">
        <v>33</v>
      </c>
      <c r="B95">
        <v>752</v>
      </c>
      <c r="C95" s="1">
        <v>44001</v>
      </c>
      <c r="D95">
        <v>6</v>
      </c>
      <c r="E95">
        <v>248</v>
      </c>
    </row>
    <row r="96" spans="1:5" x14ac:dyDescent="0.25">
      <c r="A96" t="s">
        <v>60</v>
      </c>
      <c r="B96">
        <v>201</v>
      </c>
      <c r="C96" s="1">
        <v>44034</v>
      </c>
      <c r="D96">
        <v>7</v>
      </c>
      <c r="E96">
        <v>252</v>
      </c>
    </row>
    <row r="97" spans="1:5" x14ac:dyDescent="0.25">
      <c r="A97" t="s">
        <v>33</v>
      </c>
      <c r="B97">
        <v>654</v>
      </c>
      <c r="C97" s="1">
        <v>42928</v>
      </c>
      <c r="D97">
        <v>7</v>
      </c>
      <c r="E97">
        <v>354</v>
      </c>
    </row>
    <row r="98" spans="1:5" x14ac:dyDescent="0.25">
      <c r="A98" t="s">
        <v>118</v>
      </c>
      <c r="B98">
        <v>407</v>
      </c>
      <c r="C98" s="1">
        <v>43687</v>
      </c>
      <c r="D98">
        <v>8</v>
      </c>
      <c r="E98">
        <v>152</v>
      </c>
    </row>
    <row r="99" spans="1:5" x14ac:dyDescent="0.25">
      <c r="A99" t="s">
        <v>114</v>
      </c>
      <c r="B99">
        <v>773</v>
      </c>
      <c r="C99" s="1">
        <v>43060</v>
      </c>
      <c r="D99">
        <v>11</v>
      </c>
      <c r="E99">
        <v>513</v>
      </c>
    </row>
    <row r="100" spans="1:5" x14ac:dyDescent="0.25">
      <c r="A100" t="s">
        <v>73</v>
      </c>
      <c r="B100">
        <v>401</v>
      </c>
      <c r="C100" s="1">
        <v>43770</v>
      </c>
      <c r="D100">
        <v>11</v>
      </c>
      <c r="E100">
        <v>334</v>
      </c>
    </row>
    <row r="101" spans="1:5" x14ac:dyDescent="0.25">
      <c r="A101" t="s">
        <v>73</v>
      </c>
      <c r="B101">
        <v>253</v>
      </c>
      <c r="C101" s="1">
        <v>43613</v>
      </c>
      <c r="D101">
        <v>5</v>
      </c>
      <c r="E101">
        <v>529</v>
      </c>
    </row>
    <row r="102" spans="1:5" x14ac:dyDescent="0.25">
      <c r="A102" t="s">
        <v>118</v>
      </c>
      <c r="B102">
        <v>356</v>
      </c>
      <c r="C102" s="1">
        <v>44427</v>
      </c>
      <c r="D102">
        <v>8</v>
      </c>
      <c r="E102">
        <v>407</v>
      </c>
    </row>
    <row r="103" spans="1:5" x14ac:dyDescent="0.25">
      <c r="A103" t="s">
        <v>32</v>
      </c>
      <c r="B103">
        <v>319</v>
      </c>
      <c r="C103" s="1">
        <v>44161</v>
      </c>
      <c r="D103">
        <v>11</v>
      </c>
      <c r="E103">
        <v>137</v>
      </c>
    </row>
    <row r="104" spans="1:5" x14ac:dyDescent="0.25">
      <c r="A104" t="s">
        <v>83</v>
      </c>
      <c r="B104">
        <v>1784</v>
      </c>
      <c r="C104" s="1">
        <v>43900</v>
      </c>
      <c r="D104">
        <v>3</v>
      </c>
      <c r="E104">
        <v>474</v>
      </c>
    </row>
    <row r="105" spans="1:5" x14ac:dyDescent="0.25">
      <c r="A105" t="s">
        <v>31</v>
      </c>
      <c r="B105">
        <v>674</v>
      </c>
      <c r="C105" s="1">
        <v>43285</v>
      </c>
      <c r="D105">
        <v>7</v>
      </c>
      <c r="E105">
        <v>221</v>
      </c>
    </row>
    <row r="106" spans="1:5" x14ac:dyDescent="0.25">
      <c r="A106" t="s">
        <v>53</v>
      </c>
      <c r="B106">
        <v>484</v>
      </c>
      <c r="C106" s="1">
        <v>42901</v>
      </c>
      <c r="D106">
        <v>6</v>
      </c>
      <c r="E106">
        <v>263</v>
      </c>
    </row>
    <row r="107" spans="1:5" x14ac:dyDescent="0.25">
      <c r="A107" t="s">
        <v>105</v>
      </c>
      <c r="B107">
        <v>254</v>
      </c>
      <c r="C107" s="1">
        <v>43985</v>
      </c>
      <c r="D107">
        <v>6</v>
      </c>
      <c r="E107">
        <v>319</v>
      </c>
    </row>
    <row r="108" spans="1:5" x14ac:dyDescent="0.25">
      <c r="A108" t="s">
        <v>81</v>
      </c>
      <c r="B108">
        <v>1676</v>
      </c>
      <c r="C108" s="1">
        <v>44304</v>
      </c>
      <c r="D108">
        <v>4</v>
      </c>
      <c r="E108">
        <v>9</v>
      </c>
    </row>
    <row r="109" spans="1:5" x14ac:dyDescent="0.25">
      <c r="A109" t="s">
        <v>105</v>
      </c>
      <c r="B109">
        <v>725</v>
      </c>
      <c r="C109" s="1">
        <v>43640</v>
      </c>
      <c r="D109">
        <v>6</v>
      </c>
      <c r="E109">
        <v>582</v>
      </c>
    </row>
    <row r="110" spans="1:5" x14ac:dyDescent="0.25">
      <c r="A110" t="s">
        <v>74</v>
      </c>
      <c r="B110">
        <v>732</v>
      </c>
      <c r="C110" s="1">
        <v>43148</v>
      </c>
      <c r="D110">
        <v>2</v>
      </c>
      <c r="E110">
        <v>430</v>
      </c>
    </row>
    <row r="111" spans="1:5" x14ac:dyDescent="0.25">
      <c r="A111" t="s">
        <v>80</v>
      </c>
      <c r="B111">
        <v>629</v>
      </c>
      <c r="C111" s="1">
        <v>43493</v>
      </c>
      <c r="D111">
        <v>1</v>
      </c>
      <c r="E111">
        <v>308</v>
      </c>
    </row>
    <row r="112" spans="1:5" x14ac:dyDescent="0.25">
      <c r="A112" t="s">
        <v>64</v>
      </c>
      <c r="B112">
        <v>1716</v>
      </c>
      <c r="C112" s="1">
        <v>44290</v>
      </c>
      <c r="D112">
        <v>4</v>
      </c>
      <c r="E112">
        <v>262</v>
      </c>
    </row>
    <row r="113" spans="1:5" x14ac:dyDescent="0.25">
      <c r="A113" t="s">
        <v>72</v>
      </c>
      <c r="B113">
        <v>1894</v>
      </c>
      <c r="C113" s="1">
        <v>43890</v>
      </c>
      <c r="D113">
        <v>2</v>
      </c>
      <c r="E113">
        <v>249</v>
      </c>
    </row>
    <row r="114" spans="1:5" x14ac:dyDescent="0.25">
      <c r="A114" t="s">
        <v>40</v>
      </c>
      <c r="B114">
        <v>660</v>
      </c>
      <c r="C114" s="1">
        <v>43928</v>
      </c>
      <c r="D114">
        <v>4</v>
      </c>
      <c r="E114">
        <v>138</v>
      </c>
    </row>
    <row r="115" spans="1:5" x14ac:dyDescent="0.25">
      <c r="A115" t="s">
        <v>46</v>
      </c>
      <c r="B115">
        <v>772</v>
      </c>
      <c r="C115" s="1">
        <v>44032</v>
      </c>
      <c r="D115">
        <v>7</v>
      </c>
      <c r="E115">
        <v>203</v>
      </c>
    </row>
    <row r="116" spans="1:5" x14ac:dyDescent="0.25">
      <c r="A116" t="s">
        <v>114</v>
      </c>
      <c r="B116">
        <v>738</v>
      </c>
      <c r="C116" s="1">
        <v>43689</v>
      </c>
      <c r="D116">
        <v>8</v>
      </c>
      <c r="E116">
        <v>279</v>
      </c>
    </row>
    <row r="117" spans="1:5" x14ac:dyDescent="0.25">
      <c r="A117" t="s">
        <v>62</v>
      </c>
      <c r="B117">
        <v>923</v>
      </c>
      <c r="C117" s="1">
        <v>43931</v>
      </c>
      <c r="D117">
        <v>4</v>
      </c>
      <c r="E117">
        <v>600</v>
      </c>
    </row>
    <row r="118" spans="1:5" x14ac:dyDescent="0.25">
      <c r="A118" t="s">
        <v>91</v>
      </c>
      <c r="B118">
        <v>1059</v>
      </c>
      <c r="C118" s="1">
        <v>44261</v>
      </c>
      <c r="D118">
        <v>3</v>
      </c>
      <c r="E118">
        <v>59</v>
      </c>
    </row>
    <row r="119" spans="1:5" x14ac:dyDescent="0.25">
      <c r="A119" t="s">
        <v>118</v>
      </c>
      <c r="B119">
        <v>749</v>
      </c>
      <c r="C119" s="1">
        <v>44212</v>
      </c>
      <c r="D119">
        <v>1</v>
      </c>
      <c r="E119">
        <v>31</v>
      </c>
    </row>
    <row r="120" spans="1:5" x14ac:dyDescent="0.25">
      <c r="A120" t="s">
        <v>33</v>
      </c>
      <c r="B120">
        <v>1054</v>
      </c>
      <c r="C120" s="1">
        <v>44310</v>
      </c>
      <c r="D120">
        <v>4</v>
      </c>
      <c r="E120">
        <v>541</v>
      </c>
    </row>
    <row r="121" spans="1:5" x14ac:dyDescent="0.25">
      <c r="A121" t="s">
        <v>81</v>
      </c>
      <c r="B121">
        <v>848</v>
      </c>
      <c r="C121" s="1">
        <v>44311</v>
      </c>
      <c r="D121">
        <v>4</v>
      </c>
      <c r="E121">
        <v>135</v>
      </c>
    </row>
    <row r="122" spans="1:5" x14ac:dyDescent="0.25">
      <c r="A122" t="s">
        <v>81</v>
      </c>
      <c r="B122">
        <v>513</v>
      </c>
      <c r="C122" s="1">
        <v>44185</v>
      </c>
      <c r="D122">
        <v>12</v>
      </c>
      <c r="E122">
        <v>591</v>
      </c>
    </row>
    <row r="123" spans="1:5" x14ac:dyDescent="0.25">
      <c r="A123" t="s">
        <v>74</v>
      </c>
      <c r="B123">
        <v>507</v>
      </c>
      <c r="C123" s="1">
        <v>42519</v>
      </c>
      <c r="D123">
        <v>5</v>
      </c>
      <c r="E123">
        <v>186</v>
      </c>
    </row>
    <row r="124" spans="1:5" x14ac:dyDescent="0.25">
      <c r="A124" t="s">
        <v>80</v>
      </c>
      <c r="B124">
        <v>698</v>
      </c>
      <c r="C124" s="1">
        <v>43637</v>
      </c>
      <c r="D124">
        <v>6</v>
      </c>
      <c r="E124">
        <v>461</v>
      </c>
    </row>
    <row r="125" spans="1:5" x14ac:dyDescent="0.25">
      <c r="A125" t="s">
        <v>42</v>
      </c>
      <c r="B125">
        <v>122</v>
      </c>
      <c r="C125" s="1">
        <v>43997</v>
      </c>
      <c r="D125">
        <v>6</v>
      </c>
      <c r="E125">
        <v>327</v>
      </c>
    </row>
    <row r="126" spans="1:5" x14ac:dyDescent="0.25">
      <c r="A126" t="s">
        <v>89</v>
      </c>
      <c r="B126">
        <v>1037</v>
      </c>
      <c r="C126" s="1">
        <v>43875</v>
      </c>
      <c r="D126">
        <v>2</v>
      </c>
      <c r="E126">
        <v>424</v>
      </c>
    </row>
    <row r="127" spans="1:5" x14ac:dyDescent="0.25">
      <c r="A127" t="s">
        <v>41</v>
      </c>
      <c r="B127">
        <v>665</v>
      </c>
      <c r="C127" s="1">
        <v>43240</v>
      </c>
      <c r="D127">
        <v>5</v>
      </c>
      <c r="E127">
        <v>446</v>
      </c>
    </row>
    <row r="128" spans="1:5" x14ac:dyDescent="0.25">
      <c r="A128" t="s">
        <v>46</v>
      </c>
      <c r="B128">
        <v>199</v>
      </c>
      <c r="C128" s="1">
        <v>43816</v>
      </c>
      <c r="D128">
        <v>12</v>
      </c>
      <c r="E128">
        <v>400</v>
      </c>
    </row>
    <row r="129" spans="1:5" x14ac:dyDescent="0.25">
      <c r="A129" t="s">
        <v>72</v>
      </c>
      <c r="B129">
        <v>322</v>
      </c>
      <c r="C129" s="1">
        <v>44321</v>
      </c>
      <c r="D129">
        <v>5</v>
      </c>
      <c r="E129">
        <v>140</v>
      </c>
    </row>
    <row r="130" spans="1:5" x14ac:dyDescent="0.25">
      <c r="A130" t="s">
        <v>46</v>
      </c>
      <c r="B130">
        <v>416</v>
      </c>
      <c r="C130" s="1">
        <v>43823</v>
      </c>
      <c r="D130">
        <v>12</v>
      </c>
      <c r="E130">
        <v>456</v>
      </c>
    </row>
    <row r="131" spans="1:5" x14ac:dyDescent="0.25">
      <c r="A131" t="s">
        <v>53</v>
      </c>
      <c r="B131">
        <v>647</v>
      </c>
      <c r="C131" s="1">
        <v>43378</v>
      </c>
      <c r="D131">
        <v>10</v>
      </c>
      <c r="E131">
        <v>469</v>
      </c>
    </row>
    <row r="132" spans="1:5" x14ac:dyDescent="0.25">
      <c r="A132" t="s">
        <v>47</v>
      </c>
      <c r="B132">
        <v>367</v>
      </c>
      <c r="C132" s="1">
        <v>42568</v>
      </c>
      <c r="D132">
        <v>7</v>
      </c>
      <c r="E132">
        <v>163</v>
      </c>
    </row>
    <row r="133" spans="1:5" x14ac:dyDescent="0.25">
      <c r="A133" t="s">
        <v>31</v>
      </c>
      <c r="B133">
        <v>583</v>
      </c>
      <c r="C133" s="1">
        <v>43808</v>
      </c>
      <c r="D133">
        <v>12</v>
      </c>
      <c r="E133">
        <v>276</v>
      </c>
    </row>
    <row r="134" spans="1:5" x14ac:dyDescent="0.25">
      <c r="A134" t="s">
        <v>61</v>
      </c>
      <c r="B134">
        <v>642</v>
      </c>
      <c r="C134" s="1">
        <v>44302</v>
      </c>
      <c r="D134">
        <v>4</v>
      </c>
      <c r="E134">
        <v>58</v>
      </c>
    </row>
    <row r="135" spans="1:5" x14ac:dyDescent="0.25">
      <c r="A135" t="s">
        <v>51</v>
      </c>
      <c r="B135">
        <v>1846</v>
      </c>
      <c r="C135" s="1">
        <v>43215</v>
      </c>
      <c r="D135">
        <v>4</v>
      </c>
      <c r="E135">
        <v>143</v>
      </c>
    </row>
    <row r="136" spans="1:5" x14ac:dyDescent="0.25">
      <c r="A136" t="s">
        <v>43</v>
      </c>
      <c r="B136">
        <v>472</v>
      </c>
      <c r="C136" s="1">
        <v>44353</v>
      </c>
      <c r="D136">
        <v>6</v>
      </c>
      <c r="E136">
        <v>254</v>
      </c>
    </row>
    <row r="137" spans="1:5" x14ac:dyDescent="0.25">
      <c r="A137" t="s">
        <v>33</v>
      </c>
      <c r="B137">
        <v>1760</v>
      </c>
      <c r="C137" s="1">
        <v>43196</v>
      </c>
      <c r="D137">
        <v>4</v>
      </c>
      <c r="E137">
        <v>426</v>
      </c>
    </row>
    <row r="138" spans="1:5" x14ac:dyDescent="0.25">
      <c r="A138" t="s">
        <v>47</v>
      </c>
      <c r="B138">
        <v>660</v>
      </c>
      <c r="C138" s="1">
        <v>44418</v>
      </c>
      <c r="D138">
        <v>8</v>
      </c>
      <c r="E138">
        <v>451</v>
      </c>
    </row>
    <row r="139" spans="1:5" x14ac:dyDescent="0.25">
      <c r="A139" t="s">
        <v>44</v>
      </c>
      <c r="B139">
        <v>1557</v>
      </c>
      <c r="C139" s="1">
        <v>43554</v>
      </c>
      <c r="D139">
        <v>3</v>
      </c>
      <c r="E139">
        <v>113</v>
      </c>
    </row>
    <row r="140" spans="1:5" x14ac:dyDescent="0.25">
      <c r="A140" t="s">
        <v>60</v>
      </c>
      <c r="B140">
        <v>754</v>
      </c>
      <c r="C140" s="1">
        <v>44120</v>
      </c>
      <c r="D140">
        <v>10</v>
      </c>
      <c r="E140">
        <v>473</v>
      </c>
    </row>
    <row r="141" spans="1:5" x14ac:dyDescent="0.25">
      <c r="A141" t="s">
        <v>53</v>
      </c>
      <c r="B141">
        <v>566</v>
      </c>
      <c r="C141" s="1">
        <v>42993</v>
      </c>
      <c r="D141">
        <v>9</v>
      </c>
      <c r="E141">
        <v>419</v>
      </c>
    </row>
    <row r="142" spans="1:5" x14ac:dyDescent="0.25">
      <c r="A142" t="s">
        <v>113</v>
      </c>
      <c r="B142">
        <v>1149</v>
      </c>
      <c r="C142" s="1">
        <v>43915</v>
      </c>
      <c r="D142">
        <v>3</v>
      </c>
      <c r="E142">
        <v>525</v>
      </c>
    </row>
    <row r="143" spans="1:5" x14ac:dyDescent="0.25">
      <c r="A143" t="s">
        <v>81</v>
      </c>
      <c r="B143">
        <v>689</v>
      </c>
      <c r="C143" s="1">
        <v>44188</v>
      </c>
      <c r="D143">
        <v>12</v>
      </c>
      <c r="E143">
        <v>558</v>
      </c>
    </row>
    <row r="144" spans="1:5" x14ac:dyDescent="0.25">
      <c r="A144" t="s">
        <v>75</v>
      </c>
      <c r="B144">
        <v>216</v>
      </c>
      <c r="C144" s="1">
        <v>44058</v>
      </c>
      <c r="D144">
        <v>8</v>
      </c>
      <c r="E144">
        <v>300</v>
      </c>
    </row>
    <row r="145" spans="1:5" x14ac:dyDescent="0.25">
      <c r="A145" t="s">
        <v>80</v>
      </c>
      <c r="B145">
        <v>402</v>
      </c>
      <c r="C145" s="1">
        <v>44412</v>
      </c>
      <c r="D145">
        <v>8</v>
      </c>
      <c r="E145">
        <v>501</v>
      </c>
    </row>
    <row r="146" spans="1:5" x14ac:dyDescent="0.25">
      <c r="A146" t="s">
        <v>95</v>
      </c>
      <c r="B146">
        <v>814</v>
      </c>
      <c r="C146" s="1">
        <v>43931</v>
      </c>
      <c r="D146">
        <v>4</v>
      </c>
      <c r="E146">
        <v>533</v>
      </c>
    </row>
    <row r="147" spans="1:5" x14ac:dyDescent="0.25">
      <c r="A147" t="s">
        <v>63</v>
      </c>
      <c r="B147">
        <v>933</v>
      </c>
      <c r="C147" s="1">
        <v>43503</v>
      </c>
      <c r="D147">
        <v>2</v>
      </c>
      <c r="E147">
        <v>145</v>
      </c>
    </row>
    <row r="148" spans="1:5" x14ac:dyDescent="0.25">
      <c r="A148" t="s">
        <v>43</v>
      </c>
      <c r="B148">
        <v>687</v>
      </c>
      <c r="C148" s="1">
        <v>43987</v>
      </c>
      <c r="D148">
        <v>6</v>
      </c>
      <c r="E148">
        <v>118</v>
      </c>
    </row>
    <row r="149" spans="1:5" x14ac:dyDescent="0.25">
      <c r="A149" t="s">
        <v>61</v>
      </c>
      <c r="B149">
        <v>135</v>
      </c>
      <c r="C149" s="1">
        <v>43631</v>
      </c>
      <c r="D149">
        <v>6</v>
      </c>
      <c r="E149">
        <v>309</v>
      </c>
    </row>
    <row r="150" spans="1:5" x14ac:dyDescent="0.25">
      <c r="A150" t="s">
        <v>32</v>
      </c>
      <c r="B150">
        <v>1794</v>
      </c>
      <c r="C150" s="1">
        <v>43549</v>
      </c>
      <c r="D150">
        <v>3</v>
      </c>
      <c r="E150">
        <v>98</v>
      </c>
    </row>
    <row r="151" spans="1:5" x14ac:dyDescent="0.25">
      <c r="A151" t="s">
        <v>63</v>
      </c>
      <c r="B151">
        <v>283</v>
      </c>
      <c r="C151" s="1">
        <v>44091</v>
      </c>
      <c r="D151">
        <v>9</v>
      </c>
      <c r="E151">
        <v>126</v>
      </c>
    </row>
    <row r="152" spans="1:5" x14ac:dyDescent="0.25">
      <c r="C152" s="1"/>
    </row>
    <row r="153" spans="1:5" x14ac:dyDescent="0.25">
      <c r="C153" s="1"/>
    </row>
    <row r="154" spans="1:5" x14ac:dyDescent="0.25">
      <c r="C154" s="1"/>
    </row>
    <row r="155" spans="1:5" x14ac:dyDescent="0.25">
      <c r="C155" s="1"/>
    </row>
    <row r="156" spans="1:5" x14ac:dyDescent="0.25">
      <c r="C156" s="1"/>
    </row>
    <row r="157" spans="1:5" x14ac:dyDescent="0.25">
      <c r="C157" s="1"/>
    </row>
    <row r="158" spans="1:5" x14ac:dyDescent="0.25">
      <c r="C158" s="1"/>
    </row>
    <row r="159" spans="1:5" x14ac:dyDescent="0.25">
      <c r="C159" s="1"/>
    </row>
    <row r="160" spans="1:5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97E9A-3775-463F-A7E7-A025350AD952}">
  <sheetPr codeName="Sheet12"/>
  <dimension ref="A1:E1001"/>
  <sheetViews>
    <sheetView topLeftCell="A109" workbookViewId="0">
      <selection activeCell="E142" sqref="E142"/>
    </sheetView>
  </sheetViews>
  <sheetFormatPr defaultRowHeight="15" x14ac:dyDescent="0.25"/>
  <cols>
    <col min="1" max="1" width="8.42578125" bestFit="1" customWidth="1"/>
    <col min="2" max="2" width="11.28515625" bestFit="1" customWidth="1"/>
    <col min="3" max="3" width="10.7109375" bestFit="1" customWidth="1"/>
    <col min="4" max="4" width="13.5703125" bestFit="1" customWidth="1"/>
    <col min="5" max="5" width="12.5703125" bestFit="1" customWidth="1"/>
    <col min="6" max="10" width="9.140625" customWidth="1"/>
  </cols>
  <sheetData>
    <row r="1" spans="1:5" x14ac:dyDescent="0.25">
      <c r="A1" t="s">
        <v>134</v>
      </c>
      <c r="B1" t="s">
        <v>141</v>
      </c>
      <c r="C1" t="s">
        <v>142</v>
      </c>
      <c r="D1" t="s">
        <v>152</v>
      </c>
      <c r="E1" t="s">
        <v>144</v>
      </c>
    </row>
    <row r="2" spans="1:5" x14ac:dyDescent="0.25">
      <c r="A2" t="s">
        <v>53</v>
      </c>
      <c r="B2">
        <v>564</v>
      </c>
      <c r="C2" s="1">
        <v>43366</v>
      </c>
      <c r="D2">
        <v>9</v>
      </c>
      <c r="E2">
        <v>204</v>
      </c>
    </row>
    <row r="3" spans="1:5" x14ac:dyDescent="0.25">
      <c r="A3" t="s">
        <v>43</v>
      </c>
      <c r="B3">
        <v>319</v>
      </c>
      <c r="C3" s="1">
        <v>44084</v>
      </c>
      <c r="D3">
        <v>9</v>
      </c>
      <c r="E3">
        <v>262</v>
      </c>
    </row>
    <row r="4" spans="1:5" x14ac:dyDescent="0.25">
      <c r="A4" t="s">
        <v>72</v>
      </c>
      <c r="B4">
        <v>1909</v>
      </c>
      <c r="C4" s="1">
        <v>44307</v>
      </c>
      <c r="D4">
        <v>4</v>
      </c>
      <c r="E4">
        <v>591</v>
      </c>
    </row>
    <row r="5" spans="1:5" x14ac:dyDescent="0.25">
      <c r="A5" t="s">
        <v>53</v>
      </c>
      <c r="B5">
        <v>293</v>
      </c>
      <c r="C5" s="1">
        <v>43752</v>
      </c>
      <c r="D5">
        <v>10</v>
      </c>
      <c r="E5">
        <v>126</v>
      </c>
    </row>
    <row r="6" spans="1:5" x14ac:dyDescent="0.25">
      <c r="A6" t="s">
        <v>90</v>
      </c>
      <c r="B6">
        <v>163</v>
      </c>
      <c r="C6" s="1">
        <v>44094</v>
      </c>
      <c r="D6">
        <v>9</v>
      </c>
      <c r="E6">
        <v>329</v>
      </c>
    </row>
    <row r="7" spans="1:5" x14ac:dyDescent="0.25">
      <c r="A7" t="s">
        <v>62</v>
      </c>
      <c r="B7">
        <v>574</v>
      </c>
      <c r="C7" s="1">
        <v>44409</v>
      </c>
      <c r="D7">
        <v>8</v>
      </c>
      <c r="E7">
        <v>47</v>
      </c>
    </row>
    <row r="8" spans="1:5" x14ac:dyDescent="0.25">
      <c r="A8" t="s">
        <v>34</v>
      </c>
      <c r="B8">
        <v>701</v>
      </c>
      <c r="C8" s="1">
        <v>43883</v>
      </c>
      <c r="D8">
        <v>2</v>
      </c>
      <c r="E8">
        <v>520</v>
      </c>
    </row>
    <row r="9" spans="1:5" x14ac:dyDescent="0.25">
      <c r="A9" t="s">
        <v>44</v>
      </c>
      <c r="B9">
        <v>530</v>
      </c>
      <c r="C9" s="1">
        <v>42945</v>
      </c>
      <c r="D9">
        <v>7</v>
      </c>
      <c r="E9">
        <v>169</v>
      </c>
    </row>
    <row r="10" spans="1:5" x14ac:dyDescent="0.25">
      <c r="A10" t="s">
        <v>92</v>
      </c>
      <c r="B10">
        <v>208</v>
      </c>
      <c r="C10" s="1">
        <v>42999</v>
      </c>
      <c r="D10">
        <v>9</v>
      </c>
      <c r="E10">
        <v>477</v>
      </c>
    </row>
    <row r="11" spans="1:5" x14ac:dyDescent="0.25">
      <c r="A11" t="s">
        <v>114</v>
      </c>
      <c r="B11">
        <v>1412</v>
      </c>
      <c r="C11" s="1">
        <v>43918</v>
      </c>
      <c r="D11">
        <v>3</v>
      </c>
      <c r="E11">
        <v>294</v>
      </c>
    </row>
    <row r="12" spans="1:5" x14ac:dyDescent="0.25">
      <c r="A12" t="s">
        <v>43</v>
      </c>
      <c r="B12">
        <v>1037</v>
      </c>
      <c r="C12" s="1">
        <v>43569</v>
      </c>
      <c r="D12">
        <v>4</v>
      </c>
      <c r="E12">
        <v>294</v>
      </c>
    </row>
    <row r="13" spans="1:5" x14ac:dyDescent="0.25">
      <c r="A13" t="s">
        <v>73</v>
      </c>
      <c r="B13">
        <v>720</v>
      </c>
      <c r="C13" s="1">
        <v>44394</v>
      </c>
      <c r="D13">
        <v>7</v>
      </c>
      <c r="E13">
        <v>347</v>
      </c>
    </row>
    <row r="14" spans="1:5" x14ac:dyDescent="0.25">
      <c r="A14" t="s">
        <v>53</v>
      </c>
      <c r="B14">
        <v>511</v>
      </c>
      <c r="C14" s="1">
        <v>44035</v>
      </c>
      <c r="D14">
        <v>7</v>
      </c>
      <c r="E14">
        <v>35</v>
      </c>
    </row>
    <row r="15" spans="1:5" x14ac:dyDescent="0.25">
      <c r="A15" t="s">
        <v>64</v>
      </c>
      <c r="B15">
        <v>749</v>
      </c>
      <c r="C15" s="1">
        <v>43883</v>
      </c>
      <c r="D15">
        <v>2</v>
      </c>
      <c r="E15">
        <v>277</v>
      </c>
    </row>
    <row r="16" spans="1:5" x14ac:dyDescent="0.25">
      <c r="A16" t="s">
        <v>71</v>
      </c>
      <c r="B16">
        <v>445</v>
      </c>
      <c r="C16" s="1">
        <v>44358</v>
      </c>
      <c r="D16">
        <v>6</v>
      </c>
      <c r="E16">
        <v>63</v>
      </c>
    </row>
    <row r="17" spans="1:5" x14ac:dyDescent="0.25">
      <c r="A17" t="s">
        <v>73</v>
      </c>
      <c r="B17">
        <v>203</v>
      </c>
      <c r="C17" s="1">
        <v>44194</v>
      </c>
      <c r="D17">
        <v>12</v>
      </c>
      <c r="E17">
        <v>109</v>
      </c>
    </row>
    <row r="18" spans="1:5" x14ac:dyDescent="0.25">
      <c r="A18" t="s">
        <v>103</v>
      </c>
      <c r="B18">
        <v>1179</v>
      </c>
      <c r="C18" s="1">
        <v>42785</v>
      </c>
      <c r="D18">
        <v>2</v>
      </c>
      <c r="E18">
        <v>11</v>
      </c>
    </row>
    <row r="19" spans="1:5" x14ac:dyDescent="0.25">
      <c r="A19" t="s">
        <v>116</v>
      </c>
      <c r="B19">
        <v>836</v>
      </c>
      <c r="C19" s="1">
        <v>42443</v>
      </c>
      <c r="D19">
        <v>3</v>
      </c>
      <c r="E19">
        <v>385</v>
      </c>
    </row>
    <row r="20" spans="1:5" x14ac:dyDescent="0.25">
      <c r="A20" t="s">
        <v>74</v>
      </c>
      <c r="B20">
        <v>625</v>
      </c>
      <c r="C20" s="1">
        <v>42518</v>
      </c>
      <c r="D20">
        <v>5</v>
      </c>
      <c r="E20">
        <v>99</v>
      </c>
    </row>
    <row r="21" spans="1:5" x14ac:dyDescent="0.25">
      <c r="A21" t="s">
        <v>114</v>
      </c>
      <c r="B21">
        <v>488</v>
      </c>
      <c r="C21" s="1">
        <v>44213</v>
      </c>
      <c r="D21">
        <v>1</v>
      </c>
      <c r="E21">
        <v>220</v>
      </c>
    </row>
    <row r="22" spans="1:5" x14ac:dyDescent="0.25">
      <c r="A22" t="s">
        <v>40</v>
      </c>
      <c r="B22">
        <v>327</v>
      </c>
      <c r="C22" s="1">
        <v>43639</v>
      </c>
      <c r="D22">
        <v>6</v>
      </c>
      <c r="E22">
        <v>25</v>
      </c>
    </row>
    <row r="23" spans="1:5" x14ac:dyDescent="0.25">
      <c r="A23" t="s">
        <v>60</v>
      </c>
      <c r="B23">
        <v>1978</v>
      </c>
      <c r="C23" s="1">
        <v>43943</v>
      </c>
      <c r="D23">
        <v>4</v>
      </c>
      <c r="E23">
        <v>167</v>
      </c>
    </row>
    <row r="24" spans="1:5" x14ac:dyDescent="0.25">
      <c r="A24" t="s">
        <v>32</v>
      </c>
      <c r="B24">
        <v>1253</v>
      </c>
      <c r="C24" s="1">
        <v>43212</v>
      </c>
      <c r="D24">
        <v>4</v>
      </c>
      <c r="E24">
        <v>158</v>
      </c>
    </row>
    <row r="25" spans="1:5" x14ac:dyDescent="0.25">
      <c r="A25" t="s">
        <v>73</v>
      </c>
      <c r="B25">
        <v>995</v>
      </c>
      <c r="C25" s="1">
        <v>43168</v>
      </c>
      <c r="D25">
        <v>3</v>
      </c>
      <c r="E25">
        <v>519</v>
      </c>
    </row>
    <row r="26" spans="1:5" x14ac:dyDescent="0.25">
      <c r="A26" t="s">
        <v>64</v>
      </c>
      <c r="B26">
        <v>625</v>
      </c>
      <c r="C26" s="1">
        <v>43605</v>
      </c>
      <c r="D26">
        <v>5</v>
      </c>
      <c r="E26">
        <v>394</v>
      </c>
    </row>
    <row r="27" spans="1:5" x14ac:dyDescent="0.25">
      <c r="A27" t="s">
        <v>113</v>
      </c>
      <c r="B27">
        <v>576</v>
      </c>
      <c r="C27" s="1">
        <v>44038</v>
      </c>
      <c r="D27">
        <v>7</v>
      </c>
      <c r="E27">
        <v>564</v>
      </c>
    </row>
    <row r="28" spans="1:5" x14ac:dyDescent="0.25">
      <c r="A28" t="s">
        <v>73</v>
      </c>
      <c r="B28">
        <v>490</v>
      </c>
      <c r="C28" s="1">
        <v>43808</v>
      </c>
      <c r="D28">
        <v>12</v>
      </c>
      <c r="E28">
        <v>145</v>
      </c>
    </row>
    <row r="29" spans="1:5" x14ac:dyDescent="0.25">
      <c r="A29" t="s">
        <v>90</v>
      </c>
      <c r="B29">
        <v>470</v>
      </c>
      <c r="C29" s="1">
        <v>44218</v>
      </c>
      <c r="D29">
        <v>1</v>
      </c>
      <c r="E29">
        <v>507</v>
      </c>
    </row>
    <row r="30" spans="1:5" x14ac:dyDescent="0.25">
      <c r="A30" t="s">
        <v>63</v>
      </c>
      <c r="B30">
        <v>1408</v>
      </c>
      <c r="C30" s="1">
        <v>43885</v>
      </c>
      <c r="D30">
        <v>2</v>
      </c>
      <c r="E30">
        <v>200</v>
      </c>
    </row>
    <row r="31" spans="1:5" x14ac:dyDescent="0.25">
      <c r="A31" t="s">
        <v>105</v>
      </c>
      <c r="B31">
        <v>191</v>
      </c>
      <c r="C31" s="1">
        <v>44089</v>
      </c>
      <c r="D31">
        <v>9</v>
      </c>
      <c r="E31">
        <v>67</v>
      </c>
    </row>
    <row r="32" spans="1:5" x14ac:dyDescent="0.25">
      <c r="A32" t="s">
        <v>44</v>
      </c>
      <c r="B32">
        <v>509</v>
      </c>
      <c r="C32" s="1">
        <v>44319</v>
      </c>
      <c r="D32">
        <v>5</v>
      </c>
      <c r="E32">
        <v>470</v>
      </c>
    </row>
    <row r="33" spans="1:5" x14ac:dyDescent="0.25">
      <c r="A33" t="s">
        <v>75</v>
      </c>
      <c r="B33">
        <v>228</v>
      </c>
      <c r="C33" s="1">
        <v>44103</v>
      </c>
      <c r="D33">
        <v>9</v>
      </c>
      <c r="E33">
        <v>504</v>
      </c>
    </row>
    <row r="34" spans="1:5" x14ac:dyDescent="0.25">
      <c r="A34" t="s">
        <v>40</v>
      </c>
      <c r="B34">
        <v>183</v>
      </c>
      <c r="C34" s="1">
        <v>44140</v>
      </c>
      <c r="D34">
        <v>11</v>
      </c>
      <c r="E34">
        <v>110</v>
      </c>
    </row>
    <row r="35" spans="1:5" x14ac:dyDescent="0.25">
      <c r="A35" t="s">
        <v>42</v>
      </c>
      <c r="B35">
        <v>707</v>
      </c>
      <c r="C35" s="1">
        <v>44416</v>
      </c>
      <c r="D35">
        <v>8</v>
      </c>
      <c r="E35">
        <v>133</v>
      </c>
    </row>
    <row r="36" spans="1:5" x14ac:dyDescent="0.25">
      <c r="A36" t="s">
        <v>35</v>
      </c>
      <c r="B36">
        <v>1049</v>
      </c>
      <c r="C36" s="1">
        <v>44284</v>
      </c>
      <c r="D36">
        <v>3</v>
      </c>
      <c r="E36">
        <v>166</v>
      </c>
    </row>
    <row r="37" spans="1:5" x14ac:dyDescent="0.25">
      <c r="A37" t="s">
        <v>89</v>
      </c>
      <c r="B37">
        <v>641</v>
      </c>
      <c r="C37" s="1">
        <v>44023</v>
      </c>
      <c r="D37">
        <v>7</v>
      </c>
      <c r="E37">
        <v>340</v>
      </c>
    </row>
    <row r="38" spans="1:5" x14ac:dyDescent="0.25">
      <c r="A38" t="s">
        <v>72</v>
      </c>
      <c r="B38">
        <v>461</v>
      </c>
      <c r="C38" s="1">
        <v>44166</v>
      </c>
      <c r="D38">
        <v>12</v>
      </c>
      <c r="E38">
        <v>303</v>
      </c>
    </row>
    <row r="39" spans="1:5" x14ac:dyDescent="0.25">
      <c r="A39" t="s">
        <v>46</v>
      </c>
      <c r="B39">
        <v>195</v>
      </c>
      <c r="C39" s="1">
        <v>43790</v>
      </c>
      <c r="D39">
        <v>11</v>
      </c>
      <c r="E39">
        <v>177</v>
      </c>
    </row>
    <row r="40" spans="1:5" x14ac:dyDescent="0.25">
      <c r="A40" t="s">
        <v>42</v>
      </c>
      <c r="B40">
        <v>105</v>
      </c>
      <c r="C40" s="1">
        <v>43785</v>
      </c>
      <c r="D40">
        <v>11</v>
      </c>
      <c r="E40">
        <v>143</v>
      </c>
    </row>
    <row r="41" spans="1:5" x14ac:dyDescent="0.25">
      <c r="A41" t="s">
        <v>97</v>
      </c>
      <c r="B41">
        <v>274</v>
      </c>
      <c r="C41" s="1">
        <v>43622</v>
      </c>
      <c r="D41">
        <v>6</v>
      </c>
      <c r="E41">
        <v>81</v>
      </c>
    </row>
    <row r="42" spans="1:5" x14ac:dyDescent="0.25">
      <c r="A42" t="s">
        <v>44</v>
      </c>
      <c r="B42">
        <v>182</v>
      </c>
      <c r="C42" s="1">
        <v>43251</v>
      </c>
      <c r="D42">
        <v>5</v>
      </c>
      <c r="E42">
        <v>545</v>
      </c>
    </row>
    <row r="43" spans="1:5" x14ac:dyDescent="0.25">
      <c r="A43" t="s">
        <v>90</v>
      </c>
      <c r="B43">
        <v>1383</v>
      </c>
      <c r="C43" s="1">
        <v>44230</v>
      </c>
      <c r="D43">
        <v>2</v>
      </c>
      <c r="E43">
        <v>405</v>
      </c>
    </row>
    <row r="44" spans="1:5" x14ac:dyDescent="0.25">
      <c r="A44" t="s">
        <v>113</v>
      </c>
      <c r="B44">
        <v>376</v>
      </c>
      <c r="C44" s="1">
        <v>44061</v>
      </c>
      <c r="D44">
        <v>8</v>
      </c>
      <c r="E44">
        <v>367</v>
      </c>
    </row>
    <row r="45" spans="1:5" x14ac:dyDescent="0.25">
      <c r="A45" t="s">
        <v>61</v>
      </c>
      <c r="B45">
        <v>417</v>
      </c>
      <c r="C45" s="1">
        <v>43592</v>
      </c>
      <c r="D45">
        <v>5</v>
      </c>
      <c r="E45">
        <v>143</v>
      </c>
    </row>
    <row r="46" spans="1:5" x14ac:dyDescent="0.25">
      <c r="A46" t="s">
        <v>83</v>
      </c>
      <c r="B46">
        <v>967</v>
      </c>
      <c r="C46" s="1">
        <v>44270</v>
      </c>
      <c r="D46">
        <v>3</v>
      </c>
      <c r="E46">
        <v>306</v>
      </c>
    </row>
    <row r="47" spans="1:5" x14ac:dyDescent="0.25">
      <c r="A47" t="s">
        <v>95</v>
      </c>
      <c r="B47">
        <v>608</v>
      </c>
      <c r="C47" s="1">
        <v>43985</v>
      </c>
      <c r="D47">
        <v>6</v>
      </c>
      <c r="E47">
        <v>39</v>
      </c>
    </row>
    <row r="48" spans="1:5" x14ac:dyDescent="0.25">
      <c r="A48" t="s">
        <v>70</v>
      </c>
      <c r="B48">
        <v>358</v>
      </c>
      <c r="C48" s="1">
        <v>43765</v>
      </c>
      <c r="D48">
        <v>10</v>
      </c>
      <c r="E48">
        <v>131</v>
      </c>
    </row>
    <row r="49" spans="1:5" x14ac:dyDescent="0.25">
      <c r="A49" t="s">
        <v>105</v>
      </c>
      <c r="B49">
        <v>397</v>
      </c>
      <c r="C49" s="1">
        <v>43493</v>
      </c>
      <c r="D49">
        <v>1</v>
      </c>
      <c r="E49">
        <v>213</v>
      </c>
    </row>
    <row r="50" spans="1:5" x14ac:dyDescent="0.25">
      <c r="A50" t="s">
        <v>113</v>
      </c>
      <c r="B50">
        <v>620</v>
      </c>
      <c r="C50" s="1">
        <v>44011</v>
      </c>
      <c r="D50">
        <v>6</v>
      </c>
      <c r="E50">
        <v>285</v>
      </c>
    </row>
    <row r="51" spans="1:5" x14ac:dyDescent="0.25">
      <c r="A51" t="s">
        <v>116</v>
      </c>
      <c r="B51">
        <v>1545</v>
      </c>
      <c r="C51" s="1">
        <v>42828</v>
      </c>
      <c r="D51">
        <v>4</v>
      </c>
      <c r="E51">
        <v>336</v>
      </c>
    </row>
    <row r="52" spans="1:5" x14ac:dyDescent="0.25">
      <c r="A52" t="s">
        <v>70</v>
      </c>
      <c r="B52">
        <v>722</v>
      </c>
      <c r="C52" s="1">
        <v>43788</v>
      </c>
      <c r="D52">
        <v>11</v>
      </c>
      <c r="E52">
        <v>148</v>
      </c>
    </row>
    <row r="53" spans="1:5" x14ac:dyDescent="0.25">
      <c r="A53" t="s">
        <v>113</v>
      </c>
      <c r="B53">
        <v>1800</v>
      </c>
      <c r="C53" s="1">
        <v>43932</v>
      </c>
      <c r="D53">
        <v>4</v>
      </c>
      <c r="E53">
        <v>19</v>
      </c>
    </row>
    <row r="54" spans="1:5" x14ac:dyDescent="0.25">
      <c r="A54" t="s">
        <v>64</v>
      </c>
      <c r="B54">
        <v>574</v>
      </c>
      <c r="C54" s="1">
        <v>43342</v>
      </c>
      <c r="D54">
        <v>8</v>
      </c>
      <c r="E54">
        <v>464</v>
      </c>
    </row>
    <row r="55" spans="1:5" x14ac:dyDescent="0.25">
      <c r="A55" t="s">
        <v>42</v>
      </c>
      <c r="B55">
        <v>540</v>
      </c>
      <c r="C55" s="1">
        <v>43969</v>
      </c>
      <c r="D55">
        <v>5</v>
      </c>
      <c r="E55">
        <v>151</v>
      </c>
    </row>
    <row r="56" spans="1:5" x14ac:dyDescent="0.25">
      <c r="A56" t="s">
        <v>47</v>
      </c>
      <c r="B56">
        <v>146</v>
      </c>
      <c r="C56" s="1">
        <v>42681</v>
      </c>
      <c r="D56">
        <v>11</v>
      </c>
      <c r="E56">
        <v>282</v>
      </c>
    </row>
    <row r="57" spans="1:5" x14ac:dyDescent="0.25">
      <c r="A57" t="s">
        <v>103</v>
      </c>
      <c r="B57">
        <v>684</v>
      </c>
      <c r="C57" s="1">
        <v>44013</v>
      </c>
      <c r="D57">
        <v>7</v>
      </c>
      <c r="E57">
        <v>101</v>
      </c>
    </row>
    <row r="58" spans="1:5" x14ac:dyDescent="0.25">
      <c r="A58" t="s">
        <v>32</v>
      </c>
      <c r="B58">
        <v>331</v>
      </c>
      <c r="C58" s="1">
        <v>44418</v>
      </c>
      <c r="D58">
        <v>8</v>
      </c>
      <c r="E58">
        <v>99</v>
      </c>
    </row>
    <row r="59" spans="1:5" x14ac:dyDescent="0.25">
      <c r="A59" t="s">
        <v>33</v>
      </c>
      <c r="B59">
        <v>398</v>
      </c>
      <c r="C59" s="1">
        <v>43603</v>
      </c>
      <c r="D59">
        <v>5</v>
      </c>
      <c r="E59">
        <v>206</v>
      </c>
    </row>
    <row r="60" spans="1:5" x14ac:dyDescent="0.25">
      <c r="A60" t="s">
        <v>113</v>
      </c>
      <c r="B60">
        <v>204</v>
      </c>
      <c r="C60" s="1">
        <v>44056</v>
      </c>
      <c r="D60">
        <v>8</v>
      </c>
      <c r="E60">
        <v>60</v>
      </c>
    </row>
    <row r="61" spans="1:5" x14ac:dyDescent="0.25">
      <c r="A61" t="s">
        <v>70</v>
      </c>
      <c r="B61">
        <v>1664</v>
      </c>
      <c r="C61" s="1">
        <v>44255</v>
      </c>
      <c r="D61">
        <v>2</v>
      </c>
      <c r="E61">
        <v>478</v>
      </c>
    </row>
    <row r="62" spans="1:5" x14ac:dyDescent="0.25">
      <c r="A62" t="s">
        <v>52</v>
      </c>
      <c r="B62">
        <v>173</v>
      </c>
      <c r="C62" s="1">
        <v>44429</v>
      </c>
      <c r="D62">
        <v>8</v>
      </c>
      <c r="E62">
        <v>472</v>
      </c>
    </row>
    <row r="63" spans="1:5" x14ac:dyDescent="0.25">
      <c r="A63" t="s">
        <v>53</v>
      </c>
      <c r="B63">
        <v>341</v>
      </c>
      <c r="C63" s="1">
        <v>44043</v>
      </c>
      <c r="D63">
        <v>7</v>
      </c>
      <c r="E63">
        <v>170</v>
      </c>
    </row>
    <row r="64" spans="1:5" x14ac:dyDescent="0.25">
      <c r="A64" t="s">
        <v>43</v>
      </c>
      <c r="B64">
        <v>367</v>
      </c>
      <c r="C64" s="1">
        <v>43713</v>
      </c>
      <c r="D64">
        <v>9</v>
      </c>
      <c r="E64">
        <v>359</v>
      </c>
    </row>
    <row r="65" spans="1:5" x14ac:dyDescent="0.25">
      <c r="A65" t="s">
        <v>70</v>
      </c>
      <c r="B65">
        <v>1294</v>
      </c>
      <c r="C65" s="1">
        <v>43575</v>
      </c>
      <c r="D65">
        <v>4</v>
      </c>
      <c r="E65">
        <v>3</v>
      </c>
    </row>
    <row r="66" spans="1:5" x14ac:dyDescent="0.25">
      <c r="A66" t="s">
        <v>32</v>
      </c>
      <c r="B66">
        <v>347</v>
      </c>
      <c r="C66" s="1">
        <v>43772</v>
      </c>
      <c r="D66">
        <v>11</v>
      </c>
      <c r="E66">
        <v>467</v>
      </c>
    </row>
    <row r="67" spans="1:5" x14ac:dyDescent="0.25">
      <c r="A67" t="s">
        <v>34</v>
      </c>
      <c r="B67">
        <v>572</v>
      </c>
      <c r="C67" s="1">
        <v>44004</v>
      </c>
      <c r="D67">
        <v>6</v>
      </c>
      <c r="E67">
        <v>558</v>
      </c>
    </row>
    <row r="68" spans="1:5" x14ac:dyDescent="0.25">
      <c r="A68" t="s">
        <v>115</v>
      </c>
      <c r="B68">
        <v>1303</v>
      </c>
      <c r="C68" s="1">
        <v>43906</v>
      </c>
      <c r="D68">
        <v>3</v>
      </c>
      <c r="E68">
        <v>239</v>
      </c>
    </row>
    <row r="69" spans="1:5" x14ac:dyDescent="0.25">
      <c r="A69" t="s">
        <v>75</v>
      </c>
      <c r="B69">
        <v>615</v>
      </c>
      <c r="C69" s="1">
        <v>44331</v>
      </c>
      <c r="D69">
        <v>5</v>
      </c>
      <c r="E69">
        <v>569</v>
      </c>
    </row>
    <row r="70" spans="1:5" x14ac:dyDescent="0.25">
      <c r="A70" t="s">
        <v>105</v>
      </c>
      <c r="B70">
        <v>370</v>
      </c>
      <c r="C70" s="1">
        <v>44011</v>
      </c>
      <c r="D70">
        <v>6</v>
      </c>
      <c r="E70">
        <v>383</v>
      </c>
    </row>
    <row r="71" spans="1:5" x14ac:dyDescent="0.25">
      <c r="A71" t="s">
        <v>64</v>
      </c>
      <c r="B71">
        <v>502</v>
      </c>
      <c r="C71" s="1">
        <v>43762</v>
      </c>
      <c r="D71">
        <v>10</v>
      </c>
      <c r="E71">
        <v>309</v>
      </c>
    </row>
    <row r="72" spans="1:5" x14ac:dyDescent="0.25">
      <c r="A72" t="s">
        <v>97</v>
      </c>
      <c r="B72">
        <v>660</v>
      </c>
      <c r="C72" s="1">
        <v>42493</v>
      </c>
      <c r="D72">
        <v>5</v>
      </c>
      <c r="E72">
        <v>406</v>
      </c>
    </row>
    <row r="73" spans="1:5" x14ac:dyDescent="0.25">
      <c r="A73" t="s">
        <v>118</v>
      </c>
      <c r="B73">
        <v>727</v>
      </c>
      <c r="C73" s="1">
        <v>43256</v>
      </c>
      <c r="D73">
        <v>6</v>
      </c>
      <c r="E73">
        <v>43</v>
      </c>
    </row>
    <row r="74" spans="1:5" x14ac:dyDescent="0.25">
      <c r="A74" t="s">
        <v>91</v>
      </c>
      <c r="B74">
        <v>334</v>
      </c>
      <c r="C74" s="1">
        <v>44131</v>
      </c>
      <c r="D74">
        <v>10</v>
      </c>
      <c r="E74">
        <v>574</v>
      </c>
    </row>
    <row r="75" spans="1:5" x14ac:dyDescent="0.25">
      <c r="A75" t="s">
        <v>45</v>
      </c>
      <c r="B75">
        <v>1017</v>
      </c>
      <c r="C75" s="1">
        <v>44298</v>
      </c>
      <c r="D75">
        <v>4</v>
      </c>
      <c r="E75">
        <v>513</v>
      </c>
    </row>
    <row r="76" spans="1:5" x14ac:dyDescent="0.25">
      <c r="A76" t="s">
        <v>46</v>
      </c>
      <c r="B76">
        <v>396</v>
      </c>
      <c r="C76" s="1">
        <v>44004</v>
      </c>
      <c r="D76">
        <v>6</v>
      </c>
      <c r="E76">
        <v>347</v>
      </c>
    </row>
    <row r="77" spans="1:5" x14ac:dyDescent="0.25">
      <c r="A77" t="s">
        <v>103</v>
      </c>
      <c r="B77">
        <v>389</v>
      </c>
      <c r="C77" s="1">
        <v>43783</v>
      </c>
      <c r="D77">
        <v>11</v>
      </c>
      <c r="E77">
        <v>263</v>
      </c>
    </row>
    <row r="78" spans="1:5" x14ac:dyDescent="0.25">
      <c r="A78" t="s">
        <v>92</v>
      </c>
      <c r="B78">
        <v>498</v>
      </c>
      <c r="C78" s="1">
        <v>43421</v>
      </c>
      <c r="D78">
        <v>11</v>
      </c>
      <c r="E78">
        <v>191</v>
      </c>
    </row>
    <row r="79" spans="1:5" x14ac:dyDescent="0.25">
      <c r="A79" t="s">
        <v>61</v>
      </c>
      <c r="B79">
        <v>503</v>
      </c>
      <c r="C79" s="1">
        <v>42933</v>
      </c>
      <c r="D79">
        <v>7</v>
      </c>
      <c r="E79">
        <v>384</v>
      </c>
    </row>
    <row r="80" spans="1:5" x14ac:dyDescent="0.25">
      <c r="A80" t="s">
        <v>105</v>
      </c>
      <c r="B80">
        <v>674</v>
      </c>
      <c r="C80" s="1">
        <v>44436</v>
      </c>
      <c r="D80">
        <v>8</v>
      </c>
      <c r="E80">
        <v>386</v>
      </c>
    </row>
    <row r="81" spans="1:5" x14ac:dyDescent="0.25">
      <c r="A81" t="s">
        <v>92</v>
      </c>
      <c r="B81">
        <v>258</v>
      </c>
      <c r="C81" s="1">
        <v>43959</v>
      </c>
      <c r="D81">
        <v>5</v>
      </c>
      <c r="E81">
        <v>404</v>
      </c>
    </row>
    <row r="82" spans="1:5" x14ac:dyDescent="0.25">
      <c r="A82" t="s">
        <v>80</v>
      </c>
      <c r="B82">
        <v>237</v>
      </c>
      <c r="C82" s="1">
        <v>43698</v>
      </c>
      <c r="D82">
        <v>8</v>
      </c>
      <c r="E82">
        <v>259</v>
      </c>
    </row>
    <row r="83" spans="1:5" x14ac:dyDescent="0.25">
      <c r="A83" t="s">
        <v>80</v>
      </c>
      <c r="B83">
        <v>1089</v>
      </c>
      <c r="C83" s="1">
        <v>43917</v>
      </c>
      <c r="D83">
        <v>3</v>
      </c>
      <c r="E83">
        <v>267</v>
      </c>
    </row>
    <row r="84" spans="1:5" x14ac:dyDescent="0.25">
      <c r="A84" t="s">
        <v>60</v>
      </c>
      <c r="B84">
        <v>472</v>
      </c>
      <c r="C84" s="1">
        <v>44191</v>
      </c>
      <c r="D84">
        <v>12</v>
      </c>
      <c r="E84">
        <v>76</v>
      </c>
    </row>
    <row r="85" spans="1:5" x14ac:dyDescent="0.25">
      <c r="A85" t="s">
        <v>115</v>
      </c>
      <c r="B85">
        <v>208</v>
      </c>
      <c r="C85" s="1">
        <v>44047</v>
      </c>
      <c r="D85">
        <v>8</v>
      </c>
      <c r="E85">
        <v>84</v>
      </c>
    </row>
    <row r="86" spans="1:5" x14ac:dyDescent="0.25">
      <c r="A86" t="s">
        <v>34</v>
      </c>
      <c r="B86">
        <v>557</v>
      </c>
      <c r="C86" s="1">
        <v>44367</v>
      </c>
      <c r="D86">
        <v>6</v>
      </c>
      <c r="E86">
        <v>575</v>
      </c>
    </row>
    <row r="87" spans="1:5" x14ac:dyDescent="0.25">
      <c r="A87" t="s">
        <v>70</v>
      </c>
      <c r="B87">
        <v>512</v>
      </c>
      <c r="C87" s="1">
        <v>44372</v>
      </c>
      <c r="D87">
        <v>6</v>
      </c>
      <c r="E87">
        <v>350</v>
      </c>
    </row>
    <row r="88" spans="1:5" x14ac:dyDescent="0.25">
      <c r="A88" t="s">
        <v>43</v>
      </c>
      <c r="B88">
        <v>1226</v>
      </c>
      <c r="C88" s="1">
        <v>43541</v>
      </c>
      <c r="D88">
        <v>3</v>
      </c>
      <c r="E88">
        <v>503</v>
      </c>
    </row>
    <row r="89" spans="1:5" x14ac:dyDescent="0.25">
      <c r="A89" t="s">
        <v>113</v>
      </c>
      <c r="B89">
        <v>676</v>
      </c>
      <c r="C89" s="1">
        <v>44271</v>
      </c>
      <c r="D89">
        <v>3</v>
      </c>
      <c r="E89">
        <v>294</v>
      </c>
    </row>
    <row r="90" spans="1:5" x14ac:dyDescent="0.25">
      <c r="A90" t="s">
        <v>114</v>
      </c>
      <c r="B90">
        <v>1878</v>
      </c>
      <c r="C90" s="1">
        <v>43871</v>
      </c>
      <c r="D90">
        <v>2</v>
      </c>
      <c r="E90">
        <v>86</v>
      </c>
    </row>
    <row r="91" spans="1:5" x14ac:dyDescent="0.25">
      <c r="A91" t="s">
        <v>103</v>
      </c>
      <c r="B91">
        <v>854</v>
      </c>
      <c r="C91" s="1">
        <v>43145</v>
      </c>
      <c r="D91">
        <v>2</v>
      </c>
      <c r="E91">
        <v>100</v>
      </c>
    </row>
    <row r="92" spans="1:5" x14ac:dyDescent="0.25">
      <c r="A92" t="s">
        <v>81</v>
      </c>
      <c r="B92">
        <v>684</v>
      </c>
      <c r="C92" s="1">
        <v>44346</v>
      </c>
      <c r="D92">
        <v>5</v>
      </c>
      <c r="E92">
        <v>567</v>
      </c>
    </row>
    <row r="93" spans="1:5" x14ac:dyDescent="0.25">
      <c r="A93" t="s">
        <v>89</v>
      </c>
      <c r="B93">
        <v>1315</v>
      </c>
      <c r="C93" s="1">
        <v>43553</v>
      </c>
      <c r="D93">
        <v>3</v>
      </c>
      <c r="E93">
        <v>109</v>
      </c>
    </row>
    <row r="94" spans="1:5" x14ac:dyDescent="0.25">
      <c r="A94" t="s">
        <v>74</v>
      </c>
      <c r="B94">
        <v>1132</v>
      </c>
      <c r="C94" s="1">
        <v>44260</v>
      </c>
      <c r="D94">
        <v>3</v>
      </c>
      <c r="E94">
        <v>267</v>
      </c>
    </row>
    <row r="95" spans="1:5" x14ac:dyDescent="0.25">
      <c r="A95" t="s">
        <v>61</v>
      </c>
      <c r="B95">
        <v>661</v>
      </c>
      <c r="C95" s="1">
        <v>43435</v>
      </c>
      <c r="D95">
        <v>12</v>
      </c>
      <c r="E95">
        <v>505</v>
      </c>
    </row>
    <row r="96" spans="1:5" x14ac:dyDescent="0.25">
      <c r="A96" t="s">
        <v>91</v>
      </c>
      <c r="B96">
        <v>788</v>
      </c>
      <c r="C96" s="1">
        <v>43691</v>
      </c>
      <c r="D96">
        <v>8</v>
      </c>
      <c r="E96">
        <v>62</v>
      </c>
    </row>
    <row r="97" spans="1:5" x14ac:dyDescent="0.25">
      <c r="A97" t="s">
        <v>42</v>
      </c>
      <c r="B97">
        <v>231</v>
      </c>
      <c r="C97" s="1">
        <v>44167</v>
      </c>
      <c r="D97">
        <v>12</v>
      </c>
      <c r="E97">
        <v>321</v>
      </c>
    </row>
    <row r="98" spans="1:5" x14ac:dyDescent="0.25">
      <c r="A98" t="s">
        <v>64</v>
      </c>
      <c r="B98">
        <v>753</v>
      </c>
      <c r="C98" s="1">
        <v>44012</v>
      </c>
      <c r="D98">
        <v>6</v>
      </c>
      <c r="E98">
        <v>402</v>
      </c>
    </row>
    <row r="99" spans="1:5" x14ac:dyDescent="0.25">
      <c r="A99" t="s">
        <v>117</v>
      </c>
      <c r="B99">
        <v>723</v>
      </c>
      <c r="C99" s="1">
        <v>43308</v>
      </c>
      <c r="D99">
        <v>7</v>
      </c>
      <c r="E99">
        <v>271</v>
      </c>
    </row>
    <row r="100" spans="1:5" x14ac:dyDescent="0.25">
      <c r="A100" t="s">
        <v>74</v>
      </c>
      <c r="B100">
        <v>490</v>
      </c>
      <c r="C100" s="1">
        <v>42376</v>
      </c>
      <c r="D100">
        <v>1</v>
      </c>
      <c r="E100">
        <v>395</v>
      </c>
    </row>
    <row r="101" spans="1:5" x14ac:dyDescent="0.25">
      <c r="A101" t="s">
        <v>35</v>
      </c>
      <c r="B101">
        <v>655</v>
      </c>
      <c r="C101" s="1">
        <v>42518</v>
      </c>
      <c r="D101">
        <v>5</v>
      </c>
      <c r="E101">
        <v>58</v>
      </c>
    </row>
    <row r="102" spans="1:5" x14ac:dyDescent="0.25">
      <c r="A102" t="s">
        <v>89</v>
      </c>
      <c r="B102">
        <v>724</v>
      </c>
      <c r="C102" s="1">
        <v>43658</v>
      </c>
      <c r="D102">
        <v>7</v>
      </c>
      <c r="E102">
        <v>70</v>
      </c>
    </row>
    <row r="103" spans="1:5" x14ac:dyDescent="0.25">
      <c r="A103" t="s">
        <v>64</v>
      </c>
      <c r="B103">
        <v>103</v>
      </c>
      <c r="C103" s="1">
        <v>43647</v>
      </c>
      <c r="D103">
        <v>7</v>
      </c>
      <c r="E103">
        <v>174</v>
      </c>
    </row>
    <row r="104" spans="1:5" x14ac:dyDescent="0.25">
      <c r="A104" t="s">
        <v>75</v>
      </c>
      <c r="B104">
        <v>529</v>
      </c>
      <c r="C104" s="1">
        <v>43075</v>
      </c>
      <c r="D104">
        <v>12</v>
      </c>
      <c r="E104">
        <v>486</v>
      </c>
    </row>
    <row r="105" spans="1:5" x14ac:dyDescent="0.25">
      <c r="A105" t="s">
        <v>32</v>
      </c>
      <c r="B105">
        <v>1252</v>
      </c>
      <c r="C105" s="1">
        <v>43918</v>
      </c>
      <c r="D105">
        <v>3</v>
      </c>
      <c r="E105">
        <v>600</v>
      </c>
    </row>
    <row r="106" spans="1:5" x14ac:dyDescent="0.25">
      <c r="A106" t="s">
        <v>73</v>
      </c>
      <c r="B106">
        <v>1634</v>
      </c>
      <c r="C106" s="1">
        <v>43537</v>
      </c>
      <c r="D106">
        <v>3</v>
      </c>
      <c r="E106">
        <v>31</v>
      </c>
    </row>
    <row r="107" spans="1:5" x14ac:dyDescent="0.25">
      <c r="A107" t="s">
        <v>93</v>
      </c>
      <c r="B107">
        <v>733</v>
      </c>
      <c r="C107" s="1">
        <v>43815</v>
      </c>
      <c r="D107">
        <v>12</v>
      </c>
      <c r="E107">
        <v>437</v>
      </c>
    </row>
    <row r="108" spans="1:5" x14ac:dyDescent="0.25">
      <c r="A108" t="s">
        <v>43</v>
      </c>
      <c r="B108">
        <v>744</v>
      </c>
      <c r="C108" s="1">
        <v>43896</v>
      </c>
      <c r="D108">
        <v>3</v>
      </c>
      <c r="E108">
        <v>251</v>
      </c>
    </row>
    <row r="109" spans="1:5" x14ac:dyDescent="0.25">
      <c r="A109" t="s">
        <v>83</v>
      </c>
      <c r="B109">
        <v>1227</v>
      </c>
      <c r="C109" s="1">
        <v>43878</v>
      </c>
      <c r="D109">
        <v>2</v>
      </c>
      <c r="E109">
        <v>314</v>
      </c>
    </row>
    <row r="110" spans="1:5" x14ac:dyDescent="0.25">
      <c r="A110" t="s">
        <v>63</v>
      </c>
      <c r="B110">
        <v>166</v>
      </c>
      <c r="C110" s="1">
        <v>44114</v>
      </c>
      <c r="D110">
        <v>10</v>
      </c>
      <c r="E110">
        <v>263</v>
      </c>
    </row>
    <row r="111" spans="1:5" x14ac:dyDescent="0.25">
      <c r="A111" t="s">
        <v>74</v>
      </c>
      <c r="B111">
        <v>263</v>
      </c>
      <c r="C111" s="1">
        <v>42596</v>
      </c>
      <c r="D111">
        <v>8</v>
      </c>
      <c r="E111">
        <v>276</v>
      </c>
    </row>
    <row r="112" spans="1:5" x14ac:dyDescent="0.25">
      <c r="A112" t="s">
        <v>117</v>
      </c>
      <c r="B112">
        <v>757</v>
      </c>
      <c r="C112" s="1">
        <v>42933</v>
      </c>
      <c r="D112">
        <v>7</v>
      </c>
      <c r="E112">
        <v>355</v>
      </c>
    </row>
    <row r="113" spans="1:5" x14ac:dyDescent="0.25">
      <c r="A113" t="s">
        <v>64</v>
      </c>
      <c r="B113">
        <v>277</v>
      </c>
      <c r="C113" s="1">
        <v>43657</v>
      </c>
      <c r="D113">
        <v>7</v>
      </c>
      <c r="E113">
        <v>385</v>
      </c>
    </row>
    <row r="114" spans="1:5" x14ac:dyDescent="0.25">
      <c r="A114" t="s">
        <v>52</v>
      </c>
      <c r="B114">
        <v>650</v>
      </c>
      <c r="C114" s="1">
        <v>44109</v>
      </c>
      <c r="D114">
        <v>10</v>
      </c>
      <c r="E114">
        <v>35</v>
      </c>
    </row>
    <row r="115" spans="1:5" x14ac:dyDescent="0.25">
      <c r="A115" t="s">
        <v>91</v>
      </c>
      <c r="B115">
        <v>479</v>
      </c>
      <c r="C115" s="1">
        <v>43725</v>
      </c>
      <c r="D115">
        <v>9</v>
      </c>
      <c r="E115">
        <v>389</v>
      </c>
    </row>
    <row r="116" spans="1:5" x14ac:dyDescent="0.25">
      <c r="A116" t="s">
        <v>41</v>
      </c>
      <c r="B116">
        <v>406</v>
      </c>
      <c r="C116" s="1">
        <v>43247</v>
      </c>
      <c r="D116">
        <v>5</v>
      </c>
      <c r="E116">
        <v>272</v>
      </c>
    </row>
    <row r="117" spans="1:5" x14ac:dyDescent="0.25">
      <c r="A117" t="s">
        <v>92</v>
      </c>
      <c r="B117">
        <v>674</v>
      </c>
      <c r="C117" s="1">
        <v>43367</v>
      </c>
      <c r="D117">
        <v>9</v>
      </c>
      <c r="E117">
        <v>43</v>
      </c>
    </row>
    <row r="118" spans="1:5" x14ac:dyDescent="0.25">
      <c r="A118" t="s">
        <v>74</v>
      </c>
      <c r="B118">
        <v>582</v>
      </c>
      <c r="C118" s="1">
        <v>42630</v>
      </c>
      <c r="D118">
        <v>9</v>
      </c>
      <c r="E118">
        <v>535</v>
      </c>
    </row>
    <row r="119" spans="1:5" x14ac:dyDescent="0.25">
      <c r="A119" t="s">
        <v>32</v>
      </c>
      <c r="B119">
        <v>1332</v>
      </c>
      <c r="C119" s="1">
        <v>43566</v>
      </c>
      <c r="D119">
        <v>4</v>
      </c>
      <c r="E119">
        <v>228</v>
      </c>
    </row>
    <row r="120" spans="1:5" x14ac:dyDescent="0.25">
      <c r="A120" t="s">
        <v>42</v>
      </c>
      <c r="B120">
        <v>387</v>
      </c>
      <c r="C120" s="1">
        <v>43955</v>
      </c>
      <c r="D120">
        <v>5</v>
      </c>
      <c r="E120">
        <v>421</v>
      </c>
    </row>
    <row r="121" spans="1:5" x14ac:dyDescent="0.25">
      <c r="A121" t="s">
        <v>83</v>
      </c>
      <c r="B121">
        <v>433</v>
      </c>
      <c r="C121" s="1">
        <v>43697</v>
      </c>
      <c r="D121">
        <v>8</v>
      </c>
      <c r="E121">
        <v>515</v>
      </c>
    </row>
    <row r="122" spans="1:5" x14ac:dyDescent="0.25">
      <c r="A122" t="s">
        <v>97</v>
      </c>
      <c r="B122">
        <v>591</v>
      </c>
      <c r="C122" s="1">
        <v>43113</v>
      </c>
      <c r="D122">
        <v>1</v>
      </c>
      <c r="E122">
        <v>594</v>
      </c>
    </row>
    <row r="123" spans="1:5" x14ac:dyDescent="0.25">
      <c r="A123" t="s">
        <v>31</v>
      </c>
      <c r="B123">
        <v>231</v>
      </c>
      <c r="C123" s="1">
        <v>43681</v>
      </c>
      <c r="D123">
        <v>8</v>
      </c>
      <c r="E123">
        <v>565</v>
      </c>
    </row>
    <row r="124" spans="1:5" x14ac:dyDescent="0.25">
      <c r="A124" t="s">
        <v>44</v>
      </c>
      <c r="B124">
        <v>262</v>
      </c>
      <c r="C124" s="1">
        <v>42759</v>
      </c>
      <c r="D124">
        <v>1</v>
      </c>
      <c r="E124">
        <v>375</v>
      </c>
    </row>
    <row r="125" spans="1:5" x14ac:dyDescent="0.25">
      <c r="A125" t="s">
        <v>74</v>
      </c>
      <c r="B125">
        <v>200</v>
      </c>
      <c r="C125" s="1">
        <v>44428</v>
      </c>
      <c r="D125">
        <v>8</v>
      </c>
      <c r="E125">
        <v>166</v>
      </c>
    </row>
    <row r="126" spans="1:5" x14ac:dyDescent="0.25">
      <c r="A126" t="s">
        <v>46</v>
      </c>
      <c r="B126">
        <v>427</v>
      </c>
      <c r="C126" s="1">
        <v>44156</v>
      </c>
      <c r="D126">
        <v>11</v>
      </c>
      <c r="E126">
        <v>311</v>
      </c>
    </row>
    <row r="127" spans="1:5" x14ac:dyDescent="0.25">
      <c r="A127" t="s">
        <v>82</v>
      </c>
      <c r="B127">
        <v>671</v>
      </c>
      <c r="C127" s="1">
        <v>43911</v>
      </c>
      <c r="D127">
        <v>3</v>
      </c>
      <c r="E127">
        <v>186</v>
      </c>
    </row>
    <row r="128" spans="1:5" x14ac:dyDescent="0.25">
      <c r="A128" t="s">
        <v>115</v>
      </c>
      <c r="B128">
        <v>670</v>
      </c>
      <c r="C128" s="1">
        <v>43591</v>
      </c>
      <c r="D128">
        <v>5</v>
      </c>
      <c r="E128">
        <v>490</v>
      </c>
    </row>
    <row r="129" spans="1:5" x14ac:dyDescent="0.25">
      <c r="A129" t="s">
        <v>61</v>
      </c>
      <c r="B129">
        <v>392</v>
      </c>
      <c r="C129" s="1">
        <v>44336</v>
      </c>
      <c r="D129">
        <v>5</v>
      </c>
      <c r="E129">
        <v>461</v>
      </c>
    </row>
    <row r="130" spans="1:5" x14ac:dyDescent="0.25">
      <c r="A130" t="s">
        <v>63</v>
      </c>
      <c r="B130">
        <v>295</v>
      </c>
      <c r="C130" s="1">
        <v>43231</v>
      </c>
      <c r="D130">
        <v>5</v>
      </c>
      <c r="E130">
        <v>395</v>
      </c>
    </row>
    <row r="131" spans="1:5" x14ac:dyDescent="0.25">
      <c r="A131" t="s">
        <v>74</v>
      </c>
      <c r="B131">
        <v>1152</v>
      </c>
      <c r="C131" s="1">
        <v>43193</v>
      </c>
      <c r="D131">
        <v>4</v>
      </c>
      <c r="E131">
        <v>393</v>
      </c>
    </row>
    <row r="132" spans="1:5" x14ac:dyDescent="0.25">
      <c r="A132" t="s">
        <v>35</v>
      </c>
      <c r="B132">
        <v>1328</v>
      </c>
      <c r="C132" s="1">
        <v>43510</v>
      </c>
      <c r="D132">
        <v>2</v>
      </c>
      <c r="E132">
        <v>233</v>
      </c>
    </row>
    <row r="133" spans="1:5" x14ac:dyDescent="0.25">
      <c r="A133" t="s">
        <v>104</v>
      </c>
      <c r="B133">
        <v>236</v>
      </c>
      <c r="C133" s="1">
        <v>43321</v>
      </c>
      <c r="D133">
        <v>8</v>
      </c>
      <c r="E133">
        <v>411</v>
      </c>
    </row>
    <row r="134" spans="1:5" x14ac:dyDescent="0.25">
      <c r="A134" t="s">
        <v>40</v>
      </c>
      <c r="B134">
        <v>297</v>
      </c>
      <c r="C134" s="1">
        <v>44401</v>
      </c>
      <c r="D134">
        <v>7</v>
      </c>
      <c r="E134">
        <v>147</v>
      </c>
    </row>
    <row r="135" spans="1:5" x14ac:dyDescent="0.25">
      <c r="A135" t="s">
        <v>33</v>
      </c>
      <c r="B135">
        <v>1649</v>
      </c>
      <c r="C135" s="1">
        <v>43908</v>
      </c>
      <c r="D135">
        <v>3</v>
      </c>
      <c r="E135">
        <v>47</v>
      </c>
    </row>
    <row r="136" spans="1:5" x14ac:dyDescent="0.25">
      <c r="A136" t="s">
        <v>105</v>
      </c>
      <c r="B136">
        <v>800</v>
      </c>
      <c r="C136" s="1">
        <v>43554</v>
      </c>
      <c r="D136">
        <v>3</v>
      </c>
      <c r="E136">
        <v>180</v>
      </c>
    </row>
    <row r="137" spans="1:5" x14ac:dyDescent="0.25">
      <c r="A137" t="s">
        <v>33</v>
      </c>
      <c r="B137">
        <v>1698</v>
      </c>
      <c r="C137" s="1">
        <v>43155</v>
      </c>
      <c r="D137">
        <v>2</v>
      </c>
      <c r="E137">
        <v>554</v>
      </c>
    </row>
    <row r="138" spans="1:5" x14ac:dyDescent="0.25">
      <c r="A138" t="s">
        <v>72</v>
      </c>
      <c r="B138">
        <v>787</v>
      </c>
      <c r="C138" s="1">
        <v>44371</v>
      </c>
      <c r="D138">
        <v>6</v>
      </c>
      <c r="E138">
        <v>456</v>
      </c>
    </row>
    <row r="139" spans="1:5" x14ac:dyDescent="0.25">
      <c r="A139" t="s">
        <v>104</v>
      </c>
      <c r="B139">
        <v>1863</v>
      </c>
      <c r="C139" s="1">
        <v>44249</v>
      </c>
      <c r="D139">
        <v>2</v>
      </c>
      <c r="E139">
        <v>22</v>
      </c>
    </row>
    <row r="140" spans="1:5" x14ac:dyDescent="0.25">
      <c r="A140" t="s">
        <v>51</v>
      </c>
      <c r="B140">
        <v>567</v>
      </c>
      <c r="C140" s="1">
        <v>42956</v>
      </c>
      <c r="D140">
        <v>8</v>
      </c>
      <c r="E140">
        <v>249</v>
      </c>
    </row>
    <row r="141" spans="1:5" x14ac:dyDescent="0.25">
      <c r="A141" t="s">
        <v>43</v>
      </c>
      <c r="B141">
        <v>1393</v>
      </c>
      <c r="C141" s="1">
        <v>43900</v>
      </c>
      <c r="D141">
        <v>3</v>
      </c>
      <c r="E141">
        <v>97</v>
      </c>
    </row>
    <row r="142" spans="1:5" x14ac:dyDescent="0.25">
      <c r="A142" t="s">
        <v>34</v>
      </c>
      <c r="B142">
        <v>1453</v>
      </c>
      <c r="C142" s="1">
        <v>43938</v>
      </c>
      <c r="D142">
        <v>4</v>
      </c>
      <c r="E142">
        <v>129</v>
      </c>
    </row>
    <row r="143" spans="1:5" x14ac:dyDescent="0.25">
      <c r="C143" s="1"/>
    </row>
    <row r="144" spans="1:5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  <row r="156" spans="3:3" x14ac:dyDescent="0.25">
      <c r="C156" s="1"/>
    </row>
    <row r="157" spans="3:3" x14ac:dyDescent="0.25">
      <c r="C157" s="1"/>
    </row>
    <row r="158" spans="3:3" x14ac:dyDescent="0.25">
      <c r="C158" s="1"/>
    </row>
    <row r="159" spans="3:3" x14ac:dyDescent="0.25">
      <c r="C159" s="1"/>
    </row>
    <row r="160" spans="3:3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BDB49-0F58-4749-92A4-D3B69B4F7ACC}">
  <sheetPr codeName="Sheet13"/>
  <dimension ref="A1:E1001"/>
  <sheetViews>
    <sheetView topLeftCell="A145" workbookViewId="0">
      <selection activeCell="E162" sqref="E162"/>
    </sheetView>
  </sheetViews>
  <sheetFormatPr defaultRowHeight="15" x14ac:dyDescent="0.25"/>
  <cols>
    <col min="1" max="1" width="8.42578125" bestFit="1" customWidth="1"/>
    <col min="2" max="2" width="11.28515625" bestFit="1" customWidth="1"/>
    <col min="3" max="3" width="10.7109375" bestFit="1" customWidth="1"/>
    <col min="4" max="4" width="13.5703125" bestFit="1" customWidth="1"/>
    <col min="5" max="5" width="12.5703125" bestFit="1" customWidth="1"/>
    <col min="6" max="10" width="9.140625" customWidth="1"/>
  </cols>
  <sheetData>
    <row r="1" spans="1:5" x14ac:dyDescent="0.25">
      <c r="A1" t="s">
        <v>134</v>
      </c>
      <c r="B1" t="s">
        <v>141</v>
      </c>
      <c r="C1" t="s">
        <v>142</v>
      </c>
      <c r="D1" t="s">
        <v>152</v>
      </c>
      <c r="E1" t="s">
        <v>144</v>
      </c>
    </row>
    <row r="2" spans="1:5" x14ac:dyDescent="0.25">
      <c r="A2" t="s">
        <v>53</v>
      </c>
      <c r="B2">
        <v>757</v>
      </c>
      <c r="C2" s="1">
        <v>43409</v>
      </c>
      <c r="D2">
        <v>11</v>
      </c>
      <c r="E2">
        <v>96</v>
      </c>
    </row>
    <row r="3" spans="1:5" x14ac:dyDescent="0.25">
      <c r="A3" t="s">
        <v>105</v>
      </c>
      <c r="B3">
        <v>751</v>
      </c>
      <c r="C3" s="1">
        <v>44122</v>
      </c>
      <c r="D3">
        <v>10</v>
      </c>
      <c r="E3">
        <v>376</v>
      </c>
    </row>
    <row r="4" spans="1:5" x14ac:dyDescent="0.25">
      <c r="A4" t="s">
        <v>97</v>
      </c>
      <c r="B4">
        <v>576</v>
      </c>
      <c r="C4" s="1">
        <v>43854</v>
      </c>
      <c r="D4">
        <v>1</v>
      </c>
      <c r="E4">
        <v>141</v>
      </c>
    </row>
    <row r="5" spans="1:5" x14ac:dyDescent="0.25">
      <c r="A5" t="s">
        <v>44</v>
      </c>
      <c r="B5">
        <v>751</v>
      </c>
      <c r="C5" s="1">
        <v>43113</v>
      </c>
      <c r="D5">
        <v>1</v>
      </c>
      <c r="E5">
        <v>288</v>
      </c>
    </row>
    <row r="6" spans="1:5" x14ac:dyDescent="0.25">
      <c r="A6" t="s">
        <v>91</v>
      </c>
      <c r="B6">
        <v>253</v>
      </c>
      <c r="C6" s="1">
        <v>44389</v>
      </c>
      <c r="D6">
        <v>7</v>
      </c>
      <c r="E6">
        <v>69</v>
      </c>
    </row>
    <row r="7" spans="1:5" x14ac:dyDescent="0.25">
      <c r="A7" t="s">
        <v>53</v>
      </c>
      <c r="B7">
        <v>249</v>
      </c>
      <c r="C7" s="1">
        <v>43834</v>
      </c>
      <c r="D7">
        <v>1</v>
      </c>
      <c r="E7">
        <v>283</v>
      </c>
    </row>
    <row r="8" spans="1:5" x14ac:dyDescent="0.25">
      <c r="A8" t="s">
        <v>97</v>
      </c>
      <c r="B8">
        <v>881</v>
      </c>
      <c r="C8" s="1">
        <v>44252</v>
      </c>
      <c r="D8">
        <v>2</v>
      </c>
      <c r="E8">
        <v>211</v>
      </c>
    </row>
    <row r="9" spans="1:5" x14ac:dyDescent="0.25">
      <c r="A9" t="s">
        <v>89</v>
      </c>
      <c r="B9">
        <v>1850</v>
      </c>
      <c r="C9" s="1">
        <v>43933</v>
      </c>
      <c r="D9">
        <v>4</v>
      </c>
      <c r="E9">
        <v>218</v>
      </c>
    </row>
    <row r="10" spans="1:5" x14ac:dyDescent="0.25">
      <c r="A10" t="s">
        <v>83</v>
      </c>
      <c r="B10">
        <v>393</v>
      </c>
      <c r="C10" s="1">
        <v>44124</v>
      </c>
      <c r="D10">
        <v>10</v>
      </c>
      <c r="E10">
        <v>175</v>
      </c>
    </row>
    <row r="11" spans="1:5" x14ac:dyDescent="0.25">
      <c r="A11" t="s">
        <v>43</v>
      </c>
      <c r="B11">
        <v>1364</v>
      </c>
      <c r="C11" s="1">
        <v>44247</v>
      </c>
      <c r="D11">
        <v>2</v>
      </c>
      <c r="E11">
        <v>439</v>
      </c>
    </row>
    <row r="12" spans="1:5" x14ac:dyDescent="0.25">
      <c r="A12" t="s">
        <v>62</v>
      </c>
      <c r="B12">
        <v>158</v>
      </c>
      <c r="C12" s="1">
        <v>44216</v>
      </c>
      <c r="D12">
        <v>1</v>
      </c>
      <c r="E12">
        <v>113</v>
      </c>
    </row>
    <row r="13" spans="1:5" x14ac:dyDescent="0.25">
      <c r="A13" t="s">
        <v>70</v>
      </c>
      <c r="B13">
        <v>117</v>
      </c>
      <c r="C13" s="1">
        <v>44003</v>
      </c>
      <c r="D13">
        <v>6</v>
      </c>
      <c r="E13">
        <v>535</v>
      </c>
    </row>
    <row r="14" spans="1:5" x14ac:dyDescent="0.25">
      <c r="A14" t="s">
        <v>115</v>
      </c>
      <c r="B14">
        <v>207</v>
      </c>
      <c r="C14" s="1">
        <v>44025</v>
      </c>
      <c r="D14">
        <v>7</v>
      </c>
      <c r="E14">
        <v>318</v>
      </c>
    </row>
    <row r="15" spans="1:5" x14ac:dyDescent="0.25">
      <c r="A15" t="s">
        <v>70</v>
      </c>
      <c r="B15">
        <v>152</v>
      </c>
      <c r="C15" s="1">
        <v>44343</v>
      </c>
      <c r="D15">
        <v>5</v>
      </c>
      <c r="E15">
        <v>66</v>
      </c>
    </row>
    <row r="16" spans="1:5" x14ac:dyDescent="0.25">
      <c r="A16" t="s">
        <v>80</v>
      </c>
      <c r="B16">
        <v>448</v>
      </c>
      <c r="C16" s="1">
        <v>43657</v>
      </c>
      <c r="D16">
        <v>7</v>
      </c>
      <c r="E16">
        <v>231</v>
      </c>
    </row>
    <row r="17" spans="1:5" x14ac:dyDescent="0.25">
      <c r="A17" t="s">
        <v>92</v>
      </c>
      <c r="B17">
        <v>203</v>
      </c>
      <c r="C17" s="1">
        <v>44430</v>
      </c>
      <c r="D17">
        <v>8</v>
      </c>
      <c r="E17">
        <v>388</v>
      </c>
    </row>
    <row r="18" spans="1:5" x14ac:dyDescent="0.25">
      <c r="A18" t="s">
        <v>46</v>
      </c>
      <c r="B18">
        <v>1274</v>
      </c>
      <c r="C18" s="1">
        <v>43509</v>
      </c>
      <c r="D18">
        <v>2</v>
      </c>
      <c r="E18">
        <v>427</v>
      </c>
    </row>
    <row r="19" spans="1:5" x14ac:dyDescent="0.25">
      <c r="A19" t="s">
        <v>104</v>
      </c>
      <c r="B19">
        <v>192</v>
      </c>
      <c r="C19" s="1">
        <v>44424</v>
      </c>
      <c r="D19">
        <v>8</v>
      </c>
      <c r="E19">
        <v>200</v>
      </c>
    </row>
    <row r="20" spans="1:5" x14ac:dyDescent="0.25">
      <c r="A20" t="s">
        <v>118</v>
      </c>
      <c r="B20">
        <v>570</v>
      </c>
      <c r="C20" s="1">
        <v>43350</v>
      </c>
      <c r="D20">
        <v>9</v>
      </c>
      <c r="E20">
        <v>460</v>
      </c>
    </row>
    <row r="21" spans="1:5" x14ac:dyDescent="0.25">
      <c r="A21" t="s">
        <v>117</v>
      </c>
      <c r="B21">
        <v>714</v>
      </c>
      <c r="C21" s="1">
        <v>44137</v>
      </c>
      <c r="D21">
        <v>11</v>
      </c>
      <c r="E21">
        <v>496</v>
      </c>
    </row>
    <row r="22" spans="1:5" x14ac:dyDescent="0.25">
      <c r="A22" t="s">
        <v>51</v>
      </c>
      <c r="B22">
        <v>478</v>
      </c>
      <c r="C22" s="1">
        <v>43714</v>
      </c>
      <c r="D22">
        <v>9</v>
      </c>
      <c r="E22">
        <v>214</v>
      </c>
    </row>
    <row r="23" spans="1:5" x14ac:dyDescent="0.25">
      <c r="A23" t="s">
        <v>82</v>
      </c>
      <c r="B23">
        <v>776</v>
      </c>
      <c r="C23" s="1">
        <v>44417</v>
      </c>
      <c r="D23">
        <v>8</v>
      </c>
      <c r="E23">
        <v>500</v>
      </c>
    </row>
    <row r="24" spans="1:5" x14ac:dyDescent="0.25">
      <c r="A24" t="s">
        <v>64</v>
      </c>
      <c r="B24">
        <v>396</v>
      </c>
      <c r="C24" s="1">
        <v>43225</v>
      </c>
      <c r="D24">
        <v>5</v>
      </c>
      <c r="E24">
        <v>200</v>
      </c>
    </row>
    <row r="25" spans="1:5" x14ac:dyDescent="0.25">
      <c r="A25" t="s">
        <v>104</v>
      </c>
      <c r="B25">
        <v>315</v>
      </c>
      <c r="C25" s="1">
        <v>43700</v>
      </c>
      <c r="D25">
        <v>8</v>
      </c>
      <c r="E25">
        <v>193</v>
      </c>
    </row>
    <row r="26" spans="1:5" x14ac:dyDescent="0.25">
      <c r="A26" t="s">
        <v>43</v>
      </c>
      <c r="B26">
        <v>251</v>
      </c>
      <c r="C26" s="1">
        <v>43610</v>
      </c>
      <c r="D26">
        <v>5</v>
      </c>
      <c r="E26">
        <v>431</v>
      </c>
    </row>
    <row r="27" spans="1:5" x14ac:dyDescent="0.25">
      <c r="A27" t="s">
        <v>43</v>
      </c>
      <c r="B27">
        <v>548</v>
      </c>
      <c r="C27" s="1">
        <v>43592</v>
      </c>
      <c r="D27">
        <v>5</v>
      </c>
      <c r="E27">
        <v>384</v>
      </c>
    </row>
    <row r="28" spans="1:5" x14ac:dyDescent="0.25">
      <c r="A28" t="s">
        <v>40</v>
      </c>
      <c r="B28">
        <v>1513</v>
      </c>
      <c r="C28" s="1">
        <v>43508</v>
      </c>
      <c r="D28">
        <v>2</v>
      </c>
      <c r="E28">
        <v>555</v>
      </c>
    </row>
    <row r="29" spans="1:5" x14ac:dyDescent="0.25">
      <c r="A29" t="s">
        <v>91</v>
      </c>
      <c r="B29">
        <v>252</v>
      </c>
      <c r="C29" s="1">
        <v>44027</v>
      </c>
      <c r="D29">
        <v>7</v>
      </c>
      <c r="E29">
        <v>563</v>
      </c>
    </row>
    <row r="30" spans="1:5" x14ac:dyDescent="0.25">
      <c r="A30" t="s">
        <v>31</v>
      </c>
      <c r="B30">
        <v>462</v>
      </c>
      <c r="C30" s="1">
        <v>44170</v>
      </c>
      <c r="D30">
        <v>12</v>
      </c>
      <c r="E30">
        <v>353</v>
      </c>
    </row>
    <row r="31" spans="1:5" x14ac:dyDescent="0.25">
      <c r="A31" t="s">
        <v>115</v>
      </c>
      <c r="B31">
        <v>800</v>
      </c>
      <c r="C31" s="1">
        <v>44347</v>
      </c>
      <c r="D31">
        <v>5</v>
      </c>
      <c r="E31">
        <v>264</v>
      </c>
    </row>
    <row r="32" spans="1:5" x14ac:dyDescent="0.25">
      <c r="A32" t="s">
        <v>83</v>
      </c>
      <c r="B32">
        <v>1224</v>
      </c>
      <c r="C32" s="1">
        <v>43934</v>
      </c>
      <c r="D32">
        <v>4</v>
      </c>
      <c r="E32">
        <v>334</v>
      </c>
    </row>
    <row r="33" spans="1:5" x14ac:dyDescent="0.25">
      <c r="A33" t="s">
        <v>93</v>
      </c>
      <c r="B33">
        <v>762</v>
      </c>
      <c r="C33" s="1">
        <v>44131</v>
      </c>
      <c r="D33">
        <v>10</v>
      </c>
      <c r="E33">
        <v>256</v>
      </c>
    </row>
    <row r="34" spans="1:5" x14ac:dyDescent="0.25">
      <c r="A34" t="s">
        <v>95</v>
      </c>
      <c r="B34">
        <v>508</v>
      </c>
      <c r="C34" s="1">
        <v>44400</v>
      </c>
      <c r="D34">
        <v>7</v>
      </c>
      <c r="E34">
        <v>331</v>
      </c>
    </row>
    <row r="35" spans="1:5" x14ac:dyDescent="0.25">
      <c r="A35" t="s">
        <v>95</v>
      </c>
      <c r="B35">
        <v>1207</v>
      </c>
      <c r="C35" s="1">
        <v>43863</v>
      </c>
      <c r="D35">
        <v>2</v>
      </c>
      <c r="E35">
        <v>158</v>
      </c>
    </row>
    <row r="36" spans="1:5" x14ac:dyDescent="0.25">
      <c r="A36" t="s">
        <v>34</v>
      </c>
      <c r="B36">
        <v>211</v>
      </c>
      <c r="C36" s="1">
        <v>44022</v>
      </c>
      <c r="D36">
        <v>7</v>
      </c>
      <c r="E36">
        <v>258</v>
      </c>
    </row>
    <row r="37" spans="1:5" x14ac:dyDescent="0.25">
      <c r="A37" t="s">
        <v>31</v>
      </c>
      <c r="B37">
        <v>469</v>
      </c>
      <c r="C37" s="1">
        <v>43675</v>
      </c>
      <c r="D37">
        <v>7</v>
      </c>
      <c r="E37">
        <v>341</v>
      </c>
    </row>
    <row r="38" spans="1:5" x14ac:dyDescent="0.25">
      <c r="A38" t="s">
        <v>75</v>
      </c>
      <c r="B38">
        <v>950</v>
      </c>
      <c r="C38" s="1">
        <v>43497</v>
      </c>
      <c r="D38">
        <v>2</v>
      </c>
      <c r="E38">
        <v>132</v>
      </c>
    </row>
    <row r="39" spans="1:5" x14ac:dyDescent="0.25">
      <c r="A39" t="s">
        <v>117</v>
      </c>
      <c r="B39">
        <v>537</v>
      </c>
      <c r="C39" s="1">
        <v>44132</v>
      </c>
      <c r="D39">
        <v>10</v>
      </c>
      <c r="E39">
        <v>581</v>
      </c>
    </row>
    <row r="40" spans="1:5" x14ac:dyDescent="0.25">
      <c r="A40" t="s">
        <v>52</v>
      </c>
      <c r="B40">
        <v>495</v>
      </c>
      <c r="C40" s="1">
        <v>44428</v>
      </c>
      <c r="D40">
        <v>8</v>
      </c>
      <c r="E40">
        <v>141</v>
      </c>
    </row>
    <row r="41" spans="1:5" x14ac:dyDescent="0.25">
      <c r="A41" t="s">
        <v>97</v>
      </c>
      <c r="B41">
        <v>238</v>
      </c>
      <c r="C41" s="1">
        <v>43070</v>
      </c>
      <c r="D41">
        <v>12</v>
      </c>
      <c r="E41">
        <v>27</v>
      </c>
    </row>
    <row r="42" spans="1:5" x14ac:dyDescent="0.25">
      <c r="A42" t="s">
        <v>44</v>
      </c>
      <c r="B42">
        <v>360</v>
      </c>
      <c r="C42" s="1">
        <v>43834</v>
      </c>
      <c r="D42">
        <v>1</v>
      </c>
      <c r="E42">
        <v>180</v>
      </c>
    </row>
    <row r="43" spans="1:5" x14ac:dyDescent="0.25">
      <c r="A43" t="s">
        <v>82</v>
      </c>
      <c r="B43">
        <v>1813</v>
      </c>
      <c r="C43" s="1">
        <v>43905</v>
      </c>
      <c r="D43">
        <v>3</v>
      </c>
      <c r="E43">
        <v>311</v>
      </c>
    </row>
    <row r="44" spans="1:5" x14ac:dyDescent="0.25">
      <c r="A44" t="s">
        <v>70</v>
      </c>
      <c r="B44">
        <v>732</v>
      </c>
      <c r="C44" s="1">
        <v>43815</v>
      </c>
      <c r="D44">
        <v>12</v>
      </c>
      <c r="E44">
        <v>538</v>
      </c>
    </row>
    <row r="45" spans="1:5" x14ac:dyDescent="0.25">
      <c r="A45" t="s">
        <v>62</v>
      </c>
      <c r="B45">
        <v>488</v>
      </c>
      <c r="C45" s="1">
        <v>44065</v>
      </c>
      <c r="D45">
        <v>8</v>
      </c>
      <c r="E45">
        <v>341</v>
      </c>
    </row>
    <row r="46" spans="1:5" x14ac:dyDescent="0.25">
      <c r="A46" t="s">
        <v>46</v>
      </c>
      <c r="B46">
        <v>291</v>
      </c>
      <c r="C46" s="1">
        <v>43660</v>
      </c>
      <c r="D46">
        <v>7</v>
      </c>
      <c r="E46">
        <v>589</v>
      </c>
    </row>
    <row r="47" spans="1:5" x14ac:dyDescent="0.25">
      <c r="A47" t="s">
        <v>62</v>
      </c>
      <c r="B47">
        <v>664</v>
      </c>
      <c r="C47" s="1">
        <v>44336</v>
      </c>
      <c r="D47">
        <v>5</v>
      </c>
      <c r="E47">
        <v>179</v>
      </c>
    </row>
    <row r="48" spans="1:5" x14ac:dyDescent="0.25">
      <c r="A48" t="s">
        <v>71</v>
      </c>
      <c r="B48">
        <v>570</v>
      </c>
      <c r="C48" s="1">
        <v>43981</v>
      </c>
      <c r="D48">
        <v>5</v>
      </c>
      <c r="E48">
        <v>416</v>
      </c>
    </row>
    <row r="49" spans="1:5" x14ac:dyDescent="0.25">
      <c r="A49" t="s">
        <v>80</v>
      </c>
      <c r="B49">
        <v>789</v>
      </c>
      <c r="C49" s="1">
        <v>43626</v>
      </c>
      <c r="D49">
        <v>6</v>
      </c>
      <c r="E49">
        <v>2</v>
      </c>
    </row>
    <row r="50" spans="1:5" x14ac:dyDescent="0.25">
      <c r="A50" t="s">
        <v>64</v>
      </c>
      <c r="B50">
        <v>178</v>
      </c>
      <c r="C50" s="1">
        <v>43994</v>
      </c>
      <c r="D50">
        <v>6</v>
      </c>
      <c r="E50">
        <v>94</v>
      </c>
    </row>
    <row r="51" spans="1:5" x14ac:dyDescent="0.25">
      <c r="A51" t="s">
        <v>63</v>
      </c>
      <c r="B51">
        <v>718</v>
      </c>
      <c r="C51" s="1">
        <v>44388</v>
      </c>
      <c r="D51">
        <v>7</v>
      </c>
      <c r="E51">
        <v>357</v>
      </c>
    </row>
    <row r="52" spans="1:5" x14ac:dyDescent="0.25">
      <c r="A52" t="s">
        <v>53</v>
      </c>
      <c r="B52">
        <v>324</v>
      </c>
      <c r="C52" s="1">
        <v>44415</v>
      </c>
      <c r="D52">
        <v>8</v>
      </c>
      <c r="E52">
        <v>591</v>
      </c>
    </row>
    <row r="53" spans="1:5" x14ac:dyDescent="0.25">
      <c r="A53" t="s">
        <v>51</v>
      </c>
      <c r="B53">
        <v>571</v>
      </c>
      <c r="C53" s="1">
        <v>44208</v>
      </c>
      <c r="D53">
        <v>1</v>
      </c>
      <c r="E53">
        <v>350</v>
      </c>
    </row>
    <row r="54" spans="1:5" x14ac:dyDescent="0.25">
      <c r="A54" t="s">
        <v>45</v>
      </c>
      <c r="B54">
        <v>606</v>
      </c>
      <c r="C54" s="1">
        <v>44336</v>
      </c>
      <c r="D54">
        <v>5</v>
      </c>
      <c r="E54">
        <v>76</v>
      </c>
    </row>
    <row r="55" spans="1:5" x14ac:dyDescent="0.25">
      <c r="A55" t="s">
        <v>63</v>
      </c>
      <c r="B55">
        <v>211</v>
      </c>
      <c r="C55" s="1">
        <v>43316</v>
      </c>
      <c r="D55">
        <v>8</v>
      </c>
      <c r="E55">
        <v>106</v>
      </c>
    </row>
    <row r="56" spans="1:5" x14ac:dyDescent="0.25">
      <c r="A56" t="s">
        <v>64</v>
      </c>
      <c r="B56">
        <v>989</v>
      </c>
      <c r="C56" s="1">
        <v>43875</v>
      </c>
      <c r="D56">
        <v>2</v>
      </c>
      <c r="E56">
        <v>403</v>
      </c>
    </row>
    <row r="57" spans="1:5" x14ac:dyDescent="0.25">
      <c r="A57" t="s">
        <v>41</v>
      </c>
      <c r="B57">
        <v>227</v>
      </c>
      <c r="C57" s="1">
        <v>44206</v>
      </c>
      <c r="D57">
        <v>1</v>
      </c>
      <c r="E57">
        <v>484</v>
      </c>
    </row>
    <row r="58" spans="1:5" x14ac:dyDescent="0.25">
      <c r="A58" t="s">
        <v>33</v>
      </c>
      <c r="B58">
        <v>1379</v>
      </c>
      <c r="C58" s="1">
        <v>42836</v>
      </c>
      <c r="D58">
        <v>4</v>
      </c>
      <c r="E58">
        <v>480</v>
      </c>
    </row>
    <row r="59" spans="1:5" x14ac:dyDescent="0.25">
      <c r="A59" t="s">
        <v>81</v>
      </c>
      <c r="B59">
        <v>484</v>
      </c>
      <c r="C59" s="1">
        <v>44346</v>
      </c>
      <c r="D59">
        <v>5</v>
      </c>
      <c r="E59">
        <v>448</v>
      </c>
    </row>
    <row r="60" spans="1:5" x14ac:dyDescent="0.25">
      <c r="A60" t="s">
        <v>71</v>
      </c>
      <c r="B60">
        <v>697</v>
      </c>
      <c r="C60" s="1">
        <v>43779</v>
      </c>
      <c r="D60">
        <v>11</v>
      </c>
      <c r="E60">
        <v>436</v>
      </c>
    </row>
    <row r="61" spans="1:5" x14ac:dyDescent="0.25">
      <c r="A61" t="s">
        <v>104</v>
      </c>
      <c r="B61">
        <v>1439</v>
      </c>
      <c r="C61" s="1">
        <v>43922</v>
      </c>
      <c r="D61">
        <v>4</v>
      </c>
      <c r="E61">
        <v>266</v>
      </c>
    </row>
    <row r="62" spans="1:5" x14ac:dyDescent="0.25">
      <c r="A62" t="s">
        <v>104</v>
      </c>
      <c r="B62">
        <v>108</v>
      </c>
      <c r="C62" s="1">
        <v>44388</v>
      </c>
      <c r="D62">
        <v>7</v>
      </c>
      <c r="E62">
        <v>455</v>
      </c>
    </row>
    <row r="63" spans="1:5" x14ac:dyDescent="0.25">
      <c r="A63" t="s">
        <v>90</v>
      </c>
      <c r="B63">
        <v>740</v>
      </c>
      <c r="C63" s="1">
        <v>44102</v>
      </c>
      <c r="D63">
        <v>9</v>
      </c>
      <c r="E63">
        <v>86</v>
      </c>
    </row>
    <row r="64" spans="1:5" x14ac:dyDescent="0.25">
      <c r="A64" t="s">
        <v>64</v>
      </c>
      <c r="B64">
        <v>414</v>
      </c>
      <c r="C64" s="1">
        <v>43810</v>
      </c>
      <c r="D64">
        <v>12</v>
      </c>
      <c r="E64">
        <v>36</v>
      </c>
    </row>
    <row r="65" spans="1:5" x14ac:dyDescent="0.25">
      <c r="A65" t="s">
        <v>62</v>
      </c>
      <c r="B65">
        <v>554</v>
      </c>
      <c r="C65" s="1">
        <v>44089</v>
      </c>
      <c r="D65">
        <v>9</v>
      </c>
      <c r="E65">
        <v>246</v>
      </c>
    </row>
    <row r="66" spans="1:5" x14ac:dyDescent="0.25">
      <c r="A66" t="s">
        <v>52</v>
      </c>
      <c r="B66">
        <v>1898</v>
      </c>
      <c r="C66" s="1">
        <v>44268</v>
      </c>
      <c r="D66">
        <v>3</v>
      </c>
      <c r="E66">
        <v>45</v>
      </c>
    </row>
    <row r="67" spans="1:5" x14ac:dyDescent="0.25">
      <c r="A67" t="s">
        <v>105</v>
      </c>
      <c r="B67">
        <v>765</v>
      </c>
      <c r="C67" s="1">
        <v>44076</v>
      </c>
      <c r="D67">
        <v>9</v>
      </c>
      <c r="E67">
        <v>67</v>
      </c>
    </row>
    <row r="68" spans="1:5" x14ac:dyDescent="0.25">
      <c r="A68" t="s">
        <v>117</v>
      </c>
      <c r="B68">
        <v>517</v>
      </c>
      <c r="C68" s="1">
        <v>43687</v>
      </c>
      <c r="D68">
        <v>8</v>
      </c>
      <c r="E68">
        <v>531</v>
      </c>
    </row>
    <row r="69" spans="1:5" x14ac:dyDescent="0.25">
      <c r="A69" t="s">
        <v>61</v>
      </c>
      <c r="B69">
        <v>723</v>
      </c>
      <c r="C69" s="1">
        <v>43469</v>
      </c>
      <c r="D69">
        <v>1</v>
      </c>
      <c r="E69">
        <v>206</v>
      </c>
    </row>
    <row r="70" spans="1:5" x14ac:dyDescent="0.25">
      <c r="A70" t="s">
        <v>105</v>
      </c>
      <c r="B70">
        <v>387</v>
      </c>
      <c r="C70" s="1">
        <v>44191</v>
      </c>
      <c r="D70">
        <v>12</v>
      </c>
      <c r="E70">
        <v>261</v>
      </c>
    </row>
    <row r="71" spans="1:5" x14ac:dyDescent="0.25">
      <c r="A71" t="s">
        <v>72</v>
      </c>
      <c r="B71">
        <v>795</v>
      </c>
      <c r="C71" s="1">
        <v>44252</v>
      </c>
      <c r="D71">
        <v>2</v>
      </c>
      <c r="E71">
        <v>217</v>
      </c>
    </row>
    <row r="72" spans="1:5" x14ac:dyDescent="0.25">
      <c r="A72" t="s">
        <v>46</v>
      </c>
      <c r="B72">
        <v>570</v>
      </c>
      <c r="C72" s="1">
        <v>44132</v>
      </c>
      <c r="D72">
        <v>10</v>
      </c>
      <c r="E72">
        <v>261</v>
      </c>
    </row>
    <row r="73" spans="1:5" x14ac:dyDescent="0.25">
      <c r="A73" t="s">
        <v>102</v>
      </c>
      <c r="B73">
        <v>1388</v>
      </c>
      <c r="C73" s="1">
        <v>43902</v>
      </c>
      <c r="D73">
        <v>3</v>
      </c>
      <c r="E73">
        <v>241</v>
      </c>
    </row>
    <row r="74" spans="1:5" x14ac:dyDescent="0.25">
      <c r="A74" t="s">
        <v>51</v>
      </c>
      <c r="B74">
        <v>364</v>
      </c>
      <c r="C74" s="1">
        <v>43026</v>
      </c>
      <c r="D74">
        <v>10</v>
      </c>
      <c r="E74">
        <v>472</v>
      </c>
    </row>
    <row r="75" spans="1:5" x14ac:dyDescent="0.25">
      <c r="A75" t="s">
        <v>42</v>
      </c>
      <c r="B75">
        <v>1267</v>
      </c>
      <c r="C75" s="1">
        <v>43899</v>
      </c>
      <c r="D75">
        <v>3</v>
      </c>
      <c r="E75">
        <v>170</v>
      </c>
    </row>
    <row r="76" spans="1:5" x14ac:dyDescent="0.25">
      <c r="A76" t="s">
        <v>60</v>
      </c>
      <c r="B76">
        <v>280</v>
      </c>
      <c r="C76" s="1">
        <v>44127</v>
      </c>
      <c r="D76">
        <v>10</v>
      </c>
      <c r="E76">
        <v>190</v>
      </c>
    </row>
    <row r="77" spans="1:5" x14ac:dyDescent="0.25">
      <c r="A77" t="s">
        <v>91</v>
      </c>
      <c r="B77">
        <v>1261</v>
      </c>
      <c r="C77" s="1">
        <v>43869</v>
      </c>
      <c r="D77">
        <v>2</v>
      </c>
      <c r="E77">
        <v>234</v>
      </c>
    </row>
    <row r="78" spans="1:5" x14ac:dyDescent="0.25">
      <c r="A78" t="s">
        <v>61</v>
      </c>
      <c r="B78">
        <v>328</v>
      </c>
      <c r="C78" s="1">
        <v>43795</v>
      </c>
      <c r="D78">
        <v>11</v>
      </c>
      <c r="E78">
        <v>37</v>
      </c>
    </row>
    <row r="79" spans="1:5" x14ac:dyDescent="0.25">
      <c r="A79" t="s">
        <v>81</v>
      </c>
      <c r="B79">
        <v>446</v>
      </c>
      <c r="C79" s="1">
        <v>44361</v>
      </c>
      <c r="D79">
        <v>6</v>
      </c>
      <c r="E79">
        <v>114</v>
      </c>
    </row>
    <row r="80" spans="1:5" x14ac:dyDescent="0.25">
      <c r="A80" t="s">
        <v>62</v>
      </c>
      <c r="B80">
        <v>931</v>
      </c>
      <c r="C80" s="1">
        <v>44245</v>
      </c>
      <c r="D80">
        <v>2</v>
      </c>
      <c r="E80">
        <v>514</v>
      </c>
    </row>
    <row r="81" spans="1:5" x14ac:dyDescent="0.25">
      <c r="A81" t="s">
        <v>92</v>
      </c>
      <c r="B81">
        <v>676</v>
      </c>
      <c r="C81" s="1">
        <v>43037</v>
      </c>
      <c r="D81">
        <v>10</v>
      </c>
      <c r="E81">
        <v>420</v>
      </c>
    </row>
    <row r="82" spans="1:5" x14ac:dyDescent="0.25">
      <c r="A82" t="s">
        <v>116</v>
      </c>
      <c r="B82">
        <v>542</v>
      </c>
      <c r="C82" s="1">
        <v>43717</v>
      </c>
      <c r="D82">
        <v>9</v>
      </c>
      <c r="E82">
        <v>296</v>
      </c>
    </row>
    <row r="83" spans="1:5" x14ac:dyDescent="0.25">
      <c r="A83" t="s">
        <v>70</v>
      </c>
      <c r="B83">
        <v>182</v>
      </c>
      <c r="C83" s="1">
        <v>44166</v>
      </c>
      <c r="D83">
        <v>12</v>
      </c>
      <c r="E83">
        <v>270</v>
      </c>
    </row>
    <row r="84" spans="1:5" x14ac:dyDescent="0.25">
      <c r="A84" t="s">
        <v>31</v>
      </c>
      <c r="B84">
        <v>716</v>
      </c>
      <c r="C84" s="1">
        <v>43705</v>
      </c>
      <c r="D84">
        <v>8</v>
      </c>
      <c r="E84">
        <v>92</v>
      </c>
    </row>
    <row r="85" spans="1:5" x14ac:dyDescent="0.25">
      <c r="A85" t="s">
        <v>51</v>
      </c>
      <c r="B85">
        <v>474</v>
      </c>
      <c r="C85" s="1">
        <v>43494</v>
      </c>
      <c r="D85">
        <v>1</v>
      </c>
      <c r="E85">
        <v>319</v>
      </c>
    </row>
    <row r="86" spans="1:5" x14ac:dyDescent="0.25">
      <c r="A86" t="s">
        <v>64</v>
      </c>
      <c r="B86">
        <v>572</v>
      </c>
      <c r="C86" s="1">
        <v>43486</v>
      </c>
      <c r="D86">
        <v>1</v>
      </c>
      <c r="E86">
        <v>250</v>
      </c>
    </row>
    <row r="87" spans="1:5" x14ac:dyDescent="0.25">
      <c r="A87" t="s">
        <v>61</v>
      </c>
      <c r="B87">
        <v>303</v>
      </c>
      <c r="C87" s="1">
        <v>43268</v>
      </c>
      <c r="D87">
        <v>6</v>
      </c>
      <c r="E87">
        <v>389</v>
      </c>
    </row>
    <row r="88" spans="1:5" x14ac:dyDescent="0.25">
      <c r="A88" t="s">
        <v>80</v>
      </c>
      <c r="B88">
        <v>567</v>
      </c>
      <c r="C88" s="1">
        <v>43610</v>
      </c>
      <c r="D88">
        <v>5</v>
      </c>
      <c r="E88">
        <v>95</v>
      </c>
    </row>
    <row r="89" spans="1:5" x14ac:dyDescent="0.25">
      <c r="A89" t="s">
        <v>60</v>
      </c>
      <c r="B89">
        <v>983</v>
      </c>
      <c r="C89" s="1">
        <v>43910</v>
      </c>
      <c r="D89">
        <v>3</v>
      </c>
      <c r="E89">
        <v>257</v>
      </c>
    </row>
    <row r="90" spans="1:5" x14ac:dyDescent="0.25">
      <c r="A90" t="s">
        <v>82</v>
      </c>
      <c r="B90">
        <v>704</v>
      </c>
      <c r="C90" s="1">
        <v>43564</v>
      </c>
      <c r="D90">
        <v>4</v>
      </c>
      <c r="E90">
        <v>91</v>
      </c>
    </row>
    <row r="91" spans="1:5" x14ac:dyDescent="0.25">
      <c r="A91" t="s">
        <v>35</v>
      </c>
      <c r="B91">
        <v>187</v>
      </c>
      <c r="C91" s="1">
        <v>43073</v>
      </c>
      <c r="D91">
        <v>12</v>
      </c>
      <c r="E91">
        <v>273</v>
      </c>
    </row>
    <row r="92" spans="1:5" x14ac:dyDescent="0.25">
      <c r="A92" t="s">
        <v>113</v>
      </c>
      <c r="B92">
        <v>735</v>
      </c>
      <c r="C92" s="1">
        <v>44053</v>
      </c>
      <c r="D92">
        <v>8</v>
      </c>
      <c r="E92">
        <v>346</v>
      </c>
    </row>
    <row r="93" spans="1:5" x14ac:dyDescent="0.25">
      <c r="A93" t="s">
        <v>34</v>
      </c>
      <c r="B93">
        <v>546</v>
      </c>
      <c r="C93" s="1">
        <v>43829</v>
      </c>
      <c r="D93">
        <v>12</v>
      </c>
      <c r="E93">
        <v>316</v>
      </c>
    </row>
    <row r="94" spans="1:5" x14ac:dyDescent="0.25">
      <c r="A94" t="s">
        <v>63</v>
      </c>
      <c r="B94">
        <v>277</v>
      </c>
      <c r="C94" s="1">
        <v>43730</v>
      </c>
      <c r="D94">
        <v>9</v>
      </c>
      <c r="E94">
        <v>582</v>
      </c>
    </row>
    <row r="95" spans="1:5" x14ac:dyDescent="0.25">
      <c r="A95" t="s">
        <v>64</v>
      </c>
      <c r="B95">
        <v>725</v>
      </c>
      <c r="C95" s="1">
        <v>43412</v>
      </c>
      <c r="D95">
        <v>11</v>
      </c>
      <c r="E95">
        <v>57</v>
      </c>
    </row>
    <row r="96" spans="1:5" x14ac:dyDescent="0.25">
      <c r="A96" t="s">
        <v>47</v>
      </c>
      <c r="B96">
        <v>115</v>
      </c>
      <c r="C96" s="1">
        <v>43000</v>
      </c>
      <c r="D96">
        <v>9</v>
      </c>
      <c r="E96">
        <v>356</v>
      </c>
    </row>
    <row r="97" spans="1:5" x14ac:dyDescent="0.25">
      <c r="A97" t="s">
        <v>44</v>
      </c>
      <c r="B97">
        <v>615</v>
      </c>
      <c r="C97" s="1">
        <v>43404</v>
      </c>
      <c r="D97">
        <v>10</v>
      </c>
      <c r="E97">
        <v>487</v>
      </c>
    </row>
    <row r="98" spans="1:5" x14ac:dyDescent="0.25">
      <c r="A98" t="s">
        <v>33</v>
      </c>
      <c r="B98">
        <v>679</v>
      </c>
      <c r="C98" s="1">
        <v>43324</v>
      </c>
      <c r="D98">
        <v>8</v>
      </c>
      <c r="E98">
        <v>302</v>
      </c>
    </row>
    <row r="99" spans="1:5" x14ac:dyDescent="0.25">
      <c r="A99" t="s">
        <v>51</v>
      </c>
      <c r="B99">
        <v>732</v>
      </c>
      <c r="C99" s="1">
        <v>44428</v>
      </c>
      <c r="D99">
        <v>8</v>
      </c>
      <c r="E99">
        <v>348</v>
      </c>
    </row>
    <row r="100" spans="1:5" x14ac:dyDescent="0.25">
      <c r="A100" t="s">
        <v>90</v>
      </c>
      <c r="B100">
        <v>521</v>
      </c>
      <c r="C100" s="1">
        <v>44380</v>
      </c>
      <c r="D100">
        <v>7</v>
      </c>
      <c r="E100">
        <v>531</v>
      </c>
    </row>
    <row r="101" spans="1:5" x14ac:dyDescent="0.25">
      <c r="A101" t="s">
        <v>41</v>
      </c>
      <c r="B101">
        <v>615</v>
      </c>
      <c r="C101" s="1">
        <v>44379</v>
      </c>
      <c r="D101">
        <v>7</v>
      </c>
      <c r="E101">
        <v>11</v>
      </c>
    </row>
    <row r="102" spans="1:5" x14ac:dyDescent="0.25">
      <c r="A102" t="s">
        <v>118</v>
      </c>
      <c r="B102">
        <v>515</v>
      </c>
      <c r="C102" s="1">
        <v>44182</v>
      </c>
      <c r="D102">
        <v>12</v>
      </c>
      <c r="E102">
        <v>570</v>
      </c>
    </row>
    <row r="103" spans="1:5" x14ac:dyDescent="0.25">
      <c r="A103" t="s">
        <v>97</v>
      </c>
      <c r="B103">
        <v>553</v>
      </c>
      <c r="C103" s="1">
        <v>43654</v>
      </c>
      <c r="D103">
        <v>7</v>
      </c>
      <c r="E103">
        <v>133</v>
      </c>
    </row>
    <row r="104" spans="1:5" x14ac:dyDescent="0.25">
      <c r="A104" t="s">
        <v>95</v>
      </c>
      <c r="B104">
        <v>362</v>
      </c>
      <c r="C104" s="1">
        <v>43958</v>
      </c>
      <c r="D104">
        <v>5</v>
      </c>
      <c r="E104">
        <v>283</v>
      </c>
    </row>
    <row r="105" spans="1:5" x14ac:dyDescent="0.25">
      <c r="A105" t="s">
        <v>70</v>
      </c>
      <c r="B105">
        <v>1172</v>
      </c>
      <c r="C105" s="1">
        <v>43541</v>
      </c>
      <c r="D105">
        <v>3</v>
      </c>
      <c r="E105">
        <v>97</v>
      </c>
    </row>
    <row r="106" spans="1:5" x14ac:dyDescent="0.25">
      <c r="A106" t="s">
        <v>32</v>
      </c>
      <c r="B106">
        <v>331</v>
      </c>
      <c r="C106" s="1">
        <v>43802</v>
      </c>
      <c r="D106">
        <v>12</v>
      </c>
      <c r="E106">
        <v>115</v>
      </c>
    </row>
    <row r="107" spans="1:5" x14ac:dyDescent="0.25">
      <c r="A107" t="s">
        <v>73</v>
      </c>
      <c r="B107">
        <v>331</v>
      </c>
      <c r="C107" s="1">
        <v>43434</v>
      </c>
      <c r="D107">
        <v>11</v>
      </c>
      <c r="E107">
        <v>412</v>
      </c>
    </row>
    <row r="108" spans="1:5" x14ac:dyDescent="0.25">
      <c r="A108" t="s">
        <v>45</v>
      </c>
      <c r="B108">
        <v>576</v>
      </c>
      <c r="C108" s="1">
        <v>44376</v>
      </c>
      <c r="D108">
        <v>6</v>
      </c>
      <c r="E108">
        <v>231</v>
      </c>
    </row>
    <row r="109" spans="1:5" x14ac:dyDescent="0.25">
      <c r="A109" t="s">
        <v>89</v>
      </c>
      <c r="B109">
        <v>1302</v>
      </c>
      <c r="C109" s="1">
        <v>43216</v>
      </c>
      <c r="D109">
        <v>4</v>
      </c>
      <c r="E109">
        <v>76</v>
      </c>
    </row>
    <row r="110" spans="1:5" x14ac:dyDescent="0.25">
      <c r="A110" t="s">
        <v>102</v>
      </c>
      <c r="B110">
        <v>406</v>
      </c>
      <c r="C110" s="1">
        <v>43496</v>
      </c>
      <c r="D110">
        <v>1</v>
      </c>
      <c r="E110">
        <v>346</v>
      </c>
    </row>
    <row r="111" spans="1:5" x14ac:dyDescent="0.25">
      <c r="A111" t="s">
        <v>43</v>
      </c>
      <c r="B111">
        <v>785</v>
      </c>
      <c r="C111" s="1">
        <v>44343</v>
      </c>
      <c r="D111">
        <v>5</v>
      </c>
      <c r="E111">
        <v>430</v>
      </c>
    </row>
    <row r="112" spans="1:5" x14ac:dyDescent="0.25">
      <c r="A112" t="s">
        <v>117</v>
      </c>
      <c r="B112">
        <v>269</v>
      </c>
      <c r="C112" s="1">
        <v>43041</v>
      </c>
      <c r="D112">
        <v>11</v>
      </c>
      <c r="E112">
        <v>291</v>
      </c>
    </row>
    <row r="113" spans="1:5" x14ac:dyDescent="0.25">
      <c r="A113" t="s">
        <v>93</v>
      </c>
      <c r="B113">
        <v>399</v>
      </c>
      <c r="C113" s="1">
        <v>43953</v>
      </c>
      <c r="D113">
        <v>5</v>
      </c>
      <c r="E113">
        <v>249</v>
      </c>
    </row>
    <row r="114" spans="1:5" x14ac:dyDescent="0.25">
      <c r="A114" t="s">
        <v>32</v>
      </c>
      <c r="B114">
        <v>394</v>
      </c>
      <c r="C114" s="1">
        <v>44059</v>
      </c>
      <c r="D114">
        <v>8</v>
      </c>
      <c r="E114">
        <v>394</v>
      </c>
    </row>
    <row r="115" spans="1:5" x14ac:dyDescent="0.25">
      <c r="A115" t="s">
        <v>31</v>
      </c>
      <c r="B115">
        <v>346</v>
      </c>
      <c r="C115" s="1">
        <v>43714</v>
      </c>
      <c r="D115">
        <v>9</v>
      </c>
      <c r="E115">
        <v>245</v>
      </c>
    </row>
    <row r="116" spans="1:5" x14ac:dyDescent="0.25">
      <c r="A116" t="s">
        <v>41</v>
      </c>
      <c r="B116">
        <v>759</v>
      </c>
      <c r="C116" s="1">
        <v>43203</v>
      </c>
      <c r="D116">
        <v>4</v>
      </c>
      <c r="E116">
        <v>592</v>
      </c>
    </row>
    <row r="117" spans="1:5" x14ac:dyDescent="0.25">
      <c r="A117" t="s">
        <v>104</v>
      </c>
      <c r="B117">
        <v>415</v>
      </c>
      <c r="C117" s="1">
        <v>44177</v>
      </c>
      <c r="D117">
        <v>12</v>
      </c>
      <c r="E117">
        <v>462</v>
      </c>
    </row>
    <row r="118" spans="1:5" x14ac:dyDescent="0.25">
      <c r="A118" t="s">
        <v>40</v>
      </c>
      <c r="B118">
        <v>730</v>
      </c>
      <c r="C118" s="1">
        <v>43989</v>
      </c>
      <c r="D118">
        <v>6</v>
      </c>
      <c r="E118">
        <v>458</v>
      </c>
    </row>
    <row r="119" spans="1:5" x14ac:dyDescent="0.25">
      <c r="A119" t="s">
        <v>34</v>
      </c>
      <c r="B119">
        <v>530</v>
      </c>
      <c r="C119" s="1">
        <v>44195</v>
      </c>
      <c r="D119">
        <v>12</v>
      </c>
      <c r="E119">
        <v>479</v>
      </c>
    </row>
    <row r="120" spans="1:5" x14ac:dyDescent="0.25">
      <c r="A120" t="s">
        <v>91</v>
      </c>
      <c r="B120">
        <v>762</v>
      </c>
      <c r="C120" s="1">
        <v>44052</v>
      </c>
      <c r="D120">
        <v>8</v>
      </c>
      <c r="E120">
        <v>120</v>
      </c>
    </row>
    <row r="121" spans="1:5" x14ac:dyDescent="0.25">
      <c r="A121" t="s">
        <v>41</v>
      </c>
      <c r="B121">
        <v>611</v>
      </c>
      <c r="C121" s="1">
        <v>43465</v>
      </c>
      <c r="D121">
        <v>12</v>
      </c>
      <c r="E121">
        <v>36</v>
      </c>
    </row>
    <row r="122" spans="1:5" x14ac:dyDescent="0.25">
      <c r="A122" t="s">
        <v>62</v>
      </c>
      <c r="B122">
        <v>156</v>
      </c>
      <c r="C122" s="1">
        <v>43993</v>
      </c>
      <c r="D122">
        <v>6</v>
      </c>
      <c r="E122">
        <v>41</v>
      </c>
    </row>
    <row r="123" spans="1:5" x14ac:dyDescent="0.25">
      <c r="A123" t="s">
        <v>74</v>
      </c>
      <c r="B123">
        <v>525</v>
      </c>
      <c r="C123" s="1">
        <v>42312</v>
      </c>
      <c r="D123">
        <v>11</v>
      </c>
      <c r="E123">
        <v>379</v>
      </c>
    </row>
    <row r="124" spans="1:5" x14ac:dyDescent="0.25">
      <c r="A124" t="s">
        <v>90</v>
      </c>
      <c r="B124">
        <v>316</v>
      </c>
      <c r="C124" s="1">
        <v>44400</v>
      </c>
      <c r="D124">
        <v>7</v>
      </c>
      <c r="E124">
        <v>306</v>
      </c>
    </row>
    <row r="125" spans="1:5" x14ac:dyDescent="0.25">
      <c r="A125" t="s">
        <v>103</v>
      </c>
      <c r="B125">
        <v>1651</v>
      </c>
      <c r="C125" s="1">
        <v>43915</v>
      </c>
      <c r="D125">
        <v>3</v>
      </c>
      <c r="E125">
        <v>457</v>
      </c>
    </row>
    <row r="126" spans="1:5" x14ac:dyDescent="0.25">
      <c r="A126" t="s">
        <v>46</v>
      </c>
      <c r="B126">
        <v>224</v>
      </c>
      <c r="C126" s="1">
        <v>43953</v>
      </c>
      <c r="D126">
        <v>5</v>
      </c>
      <c r="E126">
        <v>164</v>
      </c>
    </row>
    <row r="127" spans="1:5" x14ac:dyDescent="0.25">
      <c r="A127" t="s">
        <v>75</v>
      </c>
      <c r="B127">
        <v>266</v>
      </c>
      <c r="C127" s="1">
        <v>43828</v>
      </c>
      <c r="D127">
        <v>12</v>
      </c>
      <c r="E127">
        <v>8</v>
      </c>
    </row>
    <row r="128" spans="1:5" x14ac:dyDescent="0.25">
      <c r="A128" t="s">
        <v>32</v>
      </c>
      <c r="B128">
        <v>593</v>
      </c>
      <c r="C128" s="1">
        <v>43258</v>
      </c>
      <c r="D128">
        <v>6</v>
      </c>
      <c r="E128">
        <v>406</v>
      </c>
    </row>
    <row r="129" spans="1:5" x14ac:dyDescent="0.25">
      <c r="A129" t="s">
        <v>63</v>
      </c>
      <c r="B129">
        <v>235</v>
      </c>
      <c r="C129" s="1">
        <v>43721</v>
      </c>
      <c r="D129">
        <v>9</v>
      </c>
      <c r="E129">
        <v>212</v>
      </c>
    </row>
    <row r="130" spans="1:5" x14ac:dyDescent="0.25">
      <c r="A130" t="s">
        <v>52</v>
      </c>
      <c r="B130">
        <v>278</v>
      </c>
      <c r="C130" s="1">
        <v>43978</v>
      </c>
      <c r="D130">
        <v>5</v>
      </c>
      <c r="E130">
        <v>339</v>
      </c>
    </row>
    <row r="131" spans="1:5" x14ac:dyDescent="0.25">
      <c r="A131" t="s">
        <v>93</v>
      </c>
      <c r="B131">
        <v>766</v>
      </c>
      <c r="C131" s="1">
        <v>44317</v>
      </c>
      <c r="D131">
        <v>5</v>
      </c>
      <c r="E131">
        <v>465</v>
      </c>
    </row>
    <row r="132" spans="1:5" x14ac:dyDescent="0.25">
      <c r="A132" t="s">
        <v>43</v>
      </c>
      <c r="B132">
        <v>990</v>
      </c>
      <c r="C132" s="1">
        <v>43517</v>
      </c>
      <c r="D132">
        <v>2</v>
      </c>
      <c r="E132">
        <v>558</v>
      </c>
    </row>
    <row r="133" spans="1:5" x14ac:dyDescent="0.25">
      <c r="A133" t="s">
        <v>81</v>
      </c>
      <c r="B133">
        <v>729</v>
      </c>
      <c r="C133" s="1">
        <v>43946</v>
      </c>
      <c r="D133">
        <v>4</v>
      </c>
      <c r="E133">
        <v>21</v>
      </c>
    </row>
    <row r="134" spans="1:5" x14ac:dyDescent="0.25">
      <c r="A134" t="s">
        <v>102</v>
      </c>
      <c r="B134">
        <v>777</v>
      </c>
      <c r="C134" s="1">
        <v>44444</v>
      </c>
      <c r="D134">
        <v>9</v>
      </c>
      <c r="E134">
        <v>51</v>
      </c>
    </row>
    <row r="135" spans="1:5" x14ac:dyDescent="0.25">
      <c r="A135" t="s">
        <v>74</v>
      </c>
      <c r="B135">
        <v>146</v>
      </c>
      <c r="C135" s="1">
        <v>42998</v>
      </c>
      <c r="D135">
        <v>9</v>
      </c>
      <c r="E135">
        <v>244</v>
      </c>
    </row>
    <row r="136" spans="1:5" x14ac:dyDescent="0.25">
      <c r="A136" t="s">
        <v>62</v>
      </c>
      <c r="B136">
        <v>1914</v>
      </c>
      <c r="C136" s="1">
        <v>43916</v>
      </c>
      <c r="D136">
        <v>3</v>
      </c>
      <c r="E136">
        <v>223</v>
      </c>
    </row>
    <row r="137" spans="1:5" x14ac:dyDescent="0.25">
      <c r="A137" t="s">
        <v>72</v>
      </c>
      <c r="B137">
        <v>369</v>
      </c>
      <c r="C137" s="1">
        <v>44445</v>
      </c>
      <c r="D137">
        <v>9</v>
      </c>
      <c r="E137">
        <v>23</v>
      </c>
    </row>
    <row r="138" spans="1:5" x14ac:dyDescent="0.25">
      <c r="A138" t="s">
        <v>47</v>
      </c>
      <c r="B138">
        <v>782</v>
      </c>
      <c r="C138" s="1">
        <v>42703</v>
      </c>
      <c r="D138">
        <v>11</v>
      </c>
      <c r="E138">
        <v>116</v>
      </c>
    </row>
    <row r="139" spans="1:5" x14ac:dyDescent="0.25">
      <c r="A139" t="s">
        <v>118</v>
      </c>
      <c r="B139">
        <v>702</v>
      </c>
      <c r="C139" s="1">
        <v>44223</v>
      </c>
      <c r="D139">
        <v>1</v>
      </c>
      <c r="E139">
        <v>154</v>
      </c>
    </row>
    <row r="140" spans="1:5" x14ac:dyDescent="0.25">
      <c r="A140" t="s">
        <v>63</v>
      </c>
      <c r="B140">
        <v>761</v>
      </c>
      <c r="C140" s="1">
        <v>44087</v>
      </c>
      <c r="D140">
        <v>9</v>
      </c>
      <c r="E140">
        <v>114</v>
      </c>
    </row>
    <row r="141" spans="1:5" x14ac:dyDescent="0.25">
      <c r="A141" t="s">
        <v>97</v>
      </c>
      <c r="B141">
        <v>413</v>
      </c>
      <c r="C141" s="1">
        <v>44038</v>
      </c>
      <c r="D141">
        <v>7</v>
      </c>
      <c r="E141">
        <v>600</v>
      </c>
    </row>
    <row r="142" spans="1:5" x14ac:dyDescent="0.25">
      <c r="A142" t="s">
        <v>93</v>
      </c>
      <c r="B142">
        <v>538</v>
      </c>
      <c r="C142" s="1">
        <v>44195</v>
      </c>
      <c r="D142">
        <v>12</v>
      </c>
      <c r="E142">
        <v>600</v>
      </c>
    </row>
    <row r="143" spans="1:5" x14ac:dyDescent="0.25">
      <c r="A143" t="s">
        <v>52</v>
      </c>
      <c r="B143">
        <v>639</v>
      </c>
      <c r="C143" s="1">
        <v>44001</v>
      </c>
      <c r="D143">
        <v>6</v>
      </c>
      <c r="E143">
        <v>526</v>
      </c>
    </row>
    <row r="144" spans="1:5" x14ac:dyDescent="0.25">
      <c r="A144" t="s">
        <v>82</v>
      </c>
      <c r="B144">
        <v>714</v>
      </c>
      <c r="C144" s="1">
        <v>43366</v>
      </c>
      <c r="D144">
        <v>9</v>
      </c>
      <c r="E144">
        <v>53</v>
      </c>
    </row>
    <row r="145" spans="1:5" x14ac:dyDescent="0.25">
      <c r="A145" t="s">
        <v>93</v>
      </c>
      <c r="B145">
        <v>1668</v>
      </c>
      <c r="C145" s="1">
        <v>44285</v>
      </c>
      <c r="D145">
        <v>3</v>
      </c>
      <c r="E145">
        <v>577</v>
      </c>
    </row>
    <row r="146" spans="1:5" x14ac:dyDescent="0.25">
      <c r="A146" t="s">
        <v>80</v>
      </c>
      <c r="B146">
        <v>645</v>
      </c>
      <c r="C146" s="1">
        <v>43666</v>
      </c>
      <c r="D146">
        <v>7</v>
      </c>
      <c r="E146">
        <v>105</v>
      </c>
    </row>
    <row r="147" spans="1:5" x14ac:dyDescent="0.25">
      <c r="A147" t="s">
        <v>74</v>
      </c>
      <c r="B147">
        <v>221</v>
      </c>
      <c r="C147" s="1">
        <v>43230</v>
      </c>
      <c r="D147">
        <v>5</v>
      </c>
      <c r="E147">
        <v>91</v>
      </c>
    </row>
    <row r="148" spans="1:5" x14ac:dyDescent="0.25">
      <c r="A148" t="s">
        <v>97</v>
      </c>
      <c r="B148">
        <v>1691</v>
      </c>
      <c r="C148" s="1">
        <v>43569</v>
      </c>
      <c r="D148">
        <v>4</v>
      </c>
      <c r="E148">
        <v>98</v>
      </c>
    </row>
    <row r="149" spans="1:5" x14ac:dyDescent="0.25">
      <c r="A149" t="s">
        <v>32</v>
      </c>
      <c r="B149">
        <v>424</v>
      </c>
      <c r="C149" s="1">
        <v>43393</v>
      </c>
      <c r="D149">
        <v>10</v>
      </c>
      <c r="E149">
        <v>282</v>
      </c>
    </row>
    <row r="150" spans="1:5" x14ac:dyDescent="0.25">
      <c r="A150" t="s">
        <v>91</v>
      </c>
      <c r="B150">
        <v>469</v>
      </c>
      <c r="C150" s="1">
        <v>44149</v>
      </c>
      <c r="D150">
        <v>11</v>
      </c>
      <c r="E150">
        <v>216</v>
      </c>
    </row>
    <row r="151" spans="1:5" x14ac:dyDescent="0.25">
      <c r="A151" t="s">
        <v>75</v>
      </c>
      <c r="B151">
        <v>765</v>
      </c>
      <c r="C151" s="1">
        <v>43708</v>
      </c>
      <c r="D151">
        <v>8</v>
      </c>
      <c r="E151">
        <v>292</v>
      </c>
    </row>
    <row r="152" spans="1:5" x14ac:dyDescent="0.25">
      <c r="A152" t="s">
        <v>72</v>
      </c>
      <c r="B152">
        <v>635</v>
      </c>
      <c r="C152" s="1">
        <v>43945</v>
      </c>
      <c r="D152">
        <v>4</v>
      </c>
      <c r="E152">
        <v>393</v>
      </c>
    </row>
    <row r="153" spans="1:5" x14ac:dyDescent="0.25">
      <c r="A153" t="s">
        <v>64</v>
      </c>
      <c r="B153">
        <v>1607</v>
      </c>
      <c r="C153" s="1">
        <v>43547</v>
      </c>
      <c r="D153">
        <v>3</v>
      </c>
      <c r="E153">
        <v>356</v>
      </c>
    </row>
    <row r="154" spans="1:5" x14ac:dyDescent="0.25">
      <c r="A154" t="s">
        <v>33</v>
      </c>
      <c r="B154">
        <v>708</v>
      </c>
      <c r="C154" s="1">
        <v>43271</v>
      </c>
      <c r="D154">
        <v>6</v>
      </c>
      <c r="E154">
        <v>159</v>
      </c>
    </row>
    <row r="155" spans="1:5" x14ac:dyDescent="0.25">
      <c r="A155" t="s">
        <v>70</v>
      </c>
      <c r="B155">
        <v>1378</v>
      </c>
      <c r="C155" s="1">
        <v>43559</v>
      </c>
      <c r="D155">
        <v>4</v>
      </c>
      <c r="E155">
        <v>555</v>
      </c>
    </row>
    <row r="156" spans="1:5" x14ac:dyDescent="0.25">
      <c r="A156" t="s">
        <v>71</v>
      </c>
      <c r="B156">
        <v>192</v>
      </c>
      <c r="C156" s="1">
        <v>43703</v>
      </c>
      <c r="D156">
        <v>8</v>
      </c>
      <c r="E156">
        <v>280</v>
      </c>
    </row>
    <row r="157" spans="1:5" x14ac:dyDescent="0.25">
      <c r="A157" t="s">
        <v>53</v>
      </c>
      <c r="B157">
        <v>182</v>
      </c>
      <c r="C157" s="1">
        <v>43785</v>
      </c>
      <c r="D157">
        <v>11</v>
      </c>
      <c r="E157">
        <v>375</v>
      </c>
    </row>
    <row r="158" spans="1:5" x14ac:dyDescent="0.25">
      <c r="A158" t="s">
        <v>95</v>
      </c>
      <c r="B158">
        <v>357</v>
      </c>
      <c r="C158" s="1">
        <v>44129</v>
      </c>
      <c r="D158">
        <v>10</v>
      </c>
      <c r="E158">
        <v>372</v>
      </c>
    </row>
    <row r="159" spans="1:5" x14ac:dyDescent="0.25">
      <c r="A159" t="s">
        <v>73</v>
      </c>
      <c r="B159">
        <v>436</v>
      </c>
      <c r="C159" s="1">
        <v>43129</v>
      </c>
      <c r="D159">
        <v>1</v>
      </c>
      <c r="E159">
        <v>174</v>
      </c>
    </row>
    <row r="160" spans="1:5" x14ac:dyDescent="0.25">
      <c r="A160" t="s">
        <v>93</v>
      </c>
      <c r="B160">
        <v>244</v>
      </c>
      <c r="C160" s="1">
        <v>43805</v>
      </c>
      <c r="D160">
        <v>12</v>
      </c>
      <c r="E160">
        <v>505</v>
      </c>
    </row>
    <row r="161" spans="1:5" x14ac:dyDescent="0.25">
      <c r="A161" t="s">
        <v>43</v>
      </c>
      <c r="B161">
        <v>1266</v>
      </c>
      <c r="C161" s="1">
        <v>43881</v>
      </c>
      <c r="D161">
        <v>2</v>
      </c>
      <c r="E161">
        <v>406</v>
      </c>
    </row>
    <row r="162" spans="1:5" x14ac:dyDescent="0.25">
      <c r="A162" t="s">
        <v>31</v>
      </c>
      <c r="B162">
        <v>647</v>
      </c>
      <c r="C162" s="1">
        <v>43112</v>
      </c>
      <c r="D162">
        <v>1</v>
      </c>
      <c r="E162">
        <v>400</v>
      </c>
    </row>
    <row r="163" spans="1:5" x14ac:dyDescent="0.25">
      <c r="C163" s="1"/>
    </row>
    <row r="164" spans="1:5" x14ac:dyDescent="0.25">
      <c r="C164" s="1"/>
    </row>
    <row r="165" spans="1:5" x14ac:dyDescent="0.25">
      <c r="C165" s="1"/>
    </row>
    <row r="166" spans="1:5" x14ac:dyDescent="0.25">
      <c r="C166" s="1"/>
    </row>
    <row r="167" spans="1:5" x14ac:dyDescent="0.25">
      <c r="C167" s="1"/>
    </row>
    <row r="168" spans="1:5" x14ac:dyDescent="0.25">
      <c r="C168" s="1"/>
    </row>
    <row r="169" spans="1:5" x14ac:dyDescent="0.25">
      <c r="C169" s="1"/>
    </row>
    <row r="170" spans="1:5" x14ac:dyDescent="0.25">
      <c r="C170" s="1"/>
    </row>
    <row r="171" spans="1:5" x14ac:dyDescent="0.25">
      <c r="C171" s="1"/>
    </row>
    <row r="172" spans="1:5" x14ac:dyDescent="0.25">
      <c r="C172" s="1"/>
    </row>
    <row r="173" spans="1:5" x14ac:dyDescent="0.25">
      <c r="C173" s="1"/>
    </row>
    <row r="174" spans="1:5" x14ac:dyDescent="0.25">
      <c r="C174" s="1"/>
    </row>
    <row r="175" spans="1:5" x14ac:dyDescent="0.25">
      <c r="C175" s="1"/>
    </row>
    <row r="176" spans="1:5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77B09-6039-4615-95BD-164BD3E3ABDE}">
  <sheetPr codeName="Sheet14"/>
  <dimension ref="A1:E1001"/>
  <sheetViews>
    <sheetView topLeftCell="A127" workbookViewId="0">
      <selection activeCell="E148" sqref="E148"/>
    </sheetView>
  </sheetViews>
  <sheetFormatPr defaultRowHeight="15" x14ac:dyDescent="0.25"/>
  <cols>
    <col min="1" max="1" width="8.42578125" bestFit="1" customWidth="1"/>
    <col min="2" max="2" width="11.28515625" bestFit="1" customWidth="1"/>
    <col min="3" max="3" width="10.7109375" bestFit="1" customWidth="1"/>
    <col min="4" max="4" width="13.5703125" bestFit="1" customWidth="1"/>
    <col min="5" max="5" width="12.5703125" bestFit="1" customWidth="1"/>
    <col min="6" max="10" width="9.140625" customWidth="1"/>
  </cols>
  <sheetData>
    <row r="1" spans="1:5" x14ac:dyDescent="0.25">
      <c r="A1" t="s">
        <v>134</v>
      </c>
      <c r="B1" t="s">
        <v>141</v>
      </c>
      <c r="C1" t="s">
        <v>142</v>
      </c>
      <c r="D1" t="s">
        <v>152</v>
      </c>
      <c r="E1" t="s">
        <v>144</v>
      </c>
    </row>
    <row r="2" spans="1:5" x14ac:dyDescent="0.25">
      <c r="A2" t="s">
        <v>35</v>
      </c>
      <c r="B2">
        <v>224</v>
      </c>
      <c r="C2" s="1">
        <v>42603</v>
      </c>
      <c r="D2">
        <v>8</v>
      </c>
      <c r="E2">
        <v>600</v>
      </c>
    </row>
    <row r="3" spans="1:5" x14ac:dyDescent="0.25">
      <c r="A3" t="s">
        <v>42</v>
      </c>
      <c r="B3">
        <v>1038</v>
      </c>
      <c r="C3" s="1">
        <v>44284</v>
      </c>
      <c r="D3">
        <v>3</v>
      </c>
      <c r="E3">
        <v>97</v>
      </c>
    </row>
    <row r="4" spans="1:5" x14ac:dyDescent="0.25">
      <c r="A4" t="s">
        <v>82</v>
      </c>
      <c r="B4">
        <v>794</v>
      </c>
      <c r="C4" s="1">
        <v>43846</v>
      </c>
      <c r="D4">
        <v>1</v>
      </c>
      <c r="E4">
        <v>304</v>
      </c>
    </row>
    <row r="5" spans="1:5" x14ac:dyDescent="0.25">
      <c r="A5" t="s">
        <v>118</v>
      </c>
      <c r="B5">
        <v>476</v>
      </c>
      <c r="C5" s="1">
        <v>43437</v>
      </c>
      <c r="D5">
        <v>12</v>
      </c>
      <c r="E5">
        <v>342</v>
      </c>
    </row>
    <row r="6" spans="1:5" x14ac:dyDescent="0.25">
      <c r="A6" t="s">
        <v>43</v>
      </c>
      <c r="B6">
        <v>1399</v>
      </c>
      <c r="C6" s="1">
        <v>43535</v>
      </c>
      <c r="D6">
        <v>3</v>
      </c>
      <c r="E6">
        <v>101</v>
      </c>
    </row>
    <row r="7" spans="1:5" x14ac:dyDescent="0.25">
      <c r="A7" t="s">
        <v>114</v>
      </c>
      <c r="B7">
        <v>148</v>
      </c>
      <c r="C7" s="1">
        <v>43478</v>
      </c>
      <c r="D7">
        <v>1</v>
      </c>
      <c r="E7">
        <v>580</v>
      </c>
    </row>
    <row r="8" spans="1:5" x14ac:dyDescent="0.25">
      <c r="A8" t="s">
        <v>52</v>
      </c>
      <c r="B8">
        <v>650</v>
      </c>
      <c r="C8" s="1">
        <v>44064</v>
      </c>
      <c r="D8">
        <v>8</v>
      </c>
      <c r="E8">
        <v>592</v>
      </c>
    </row>
    <row r="9" spans="1:5" x14ac:dyDescent="0.25">
      <c r="A9" t="s">
        <v>74</v>
      </c>
      <c r="B9">
        <v>185</v>
      </c>
      <c r="C9" s="1">
        <v>42228</v>
      </c>
      <c r="D9">
        <v>8</v>
      </c>
      <c r="E9">
        <v>385</v>
      </c>
    </row>
    <row r="10" spans="1:5" x14ac:dyDescent="0.25">
      <c r="A10" t="s">
        <v>93</v>
      </c>
      <c r="B10">
        <v>570</v>
      </c>
      <c r="C10" s="1">
        <v>43989</v>
      </c>
      <c r="D10">
        <v>6</v>
      </c>
      <c r="E10">
        <v>519</v>
      </c>
    </row>
    <row r="11" spans="1:5" x14ac:dyDescent="0.25">
      <c r="A11" t="s">
        <v>42</v>
      </c>
      <c r="B11">
        <v>155</v>
      </c>
      <c r="C11" s="1">
        <v>44137</v>
      </c>
      <c r="D11">
        <v>11</v>
      </c>
      <c r="E11">
        <v>514</v>
      </c>
    </row>
    <row r="12" spans="1:5" x14ac:dyDescent="0.25">
      <c r="A12" t="s">
        <v>34</v>
      </c>
      <c r="B12">
        <v>541</v>
      </c>
      <c r="C12" s="1">
        <v>44209</v>
      </c>
      <c r="D12">
        <v>1</v>
      </c>
      <c r="E12">
        <v>422</v>
      </c>
    </row>
    <row r="13" spans="1:5" x14ac:dyDescent="0.25">
      <c r="A13" t="s">
        <v>83</v>
      </c>
      <c r="B13">
        <v>778</v>
      </c>
      <c r="C13" s="1">
        <v>43870</v>
      </c>
      <c r="D13">
        <v>2</v>
      </c>
      <c r="E13">
        <v>502</v>
      </c>
    </row>
    <row r="14" spans="1:5" x14ac:dyDescent="0.25">
      <c r="A14" t="s">
        <v>105</v>
      </c>
      <c r="B14">
        <v>428</v>
      </c>
      <c r="C14" s="1">
        <v>44391</v>
      </c>
      <c r="D14">
        <v>7</v>
      </c>
      <c r="E14">
        <v>382</v>
      </c>
    </row>
    <row r="15" spans="1:5" x14ac:dyDescent="0.25">
      <c r="A15" t="s">
        <v>80</v>
      </c>
      <c r="B15">
        <v>594</v>
      </c>
      <c r="C15" s="1">
        <v>44206</v>
      </c>
      <c r="D15">
        <v>1</v>
      </c>
      <c r="E15">
        <v>514</v>
      </c>
    </row>
    <row r="16" spans="1:5" x14ac:dyDescent="0.25">
      <c r="A16" t="s">
        <v>114</v>
      </c>
      <c r="B16">
        <v>558</v>
      </c>
      <c r="C16" s="1">
        <v>44334</v>
      </c>
      <c r="D16">
        <v>5</v>
      </c>
      <c r="E16">
        <v>87</v>
      </c>
    </row>
    <row r="17" spans="1:5" x14ac:dyDescent="0.25">
      <c r="A17" t="s">
        <v>52</v>
      </c>
      <c r="B17">
        <v>736</v>
      </c>
      <c r="C17" s="1">
        <v>44151</v>
      </c>
      <c r="D17">
        <v>11</v>
      </c>
      <c r="E17">
        <v>225</v>
      </c>
    </row>
    <row r="18" spans="1:5" x14ac:dyDescent="0.25">
      <c r="A18" t="s">
        <v>117</v>
      </c>
      <c r="B18">
        <v>1886</v>
      </c>
      <c r="C18" s="1">
        <v>42832</v>
      </c>
      <c r="D18">
        <v>4</v>
      </c>
      <c r="E18">
        <v>2</v>
      </c>
    </row>
    <row r="19" spans="1:5" x14ac:dyDescent="0.25">
      <c r="A19" t="s">
        <v>118</v>
      </c>
      <c r="B19">
        <v>586</v>
      </c>
      <c r="C19" s="1">
        <v>44356</v>
      </c>
      <c r="D19">
        <v>6</v>
      </c>
      <c r="E19">
        <v>480</v>
      </c>
    </row>
    <row r="20" spans="1:5" x14ac:dyDescent="0.25">
      <c r="A20" t="s">
        <v>73</v>
      </c>
      <c r="B20">
        <v>1324</v>
      </c>
      <c r="C20" s="1">
        <v>43534</v>
      </c>
      <c r="D20">
        <v>3</v>
      </c>
      <c r="E20">
        <v>207</v>
      </c>
    </row>
    <row r="21" spans="1:5" x14ac:dyDescent="0.25">
      <c r="A21" t="s">
        <v>63</v>
      </c>
      <c r="B21">
        <v>294</v>
      </c>
      <c r="C21" s="1">
        <v>43437</v>
      </c>
      <c r="D21">
        <v>12</v>
      </c>
      <c r="E21">
        <v>88</v>
      </c>
    </row>
    <row r="22" spans="1:5" x14ac:dyDescent="0.25">
      <c r="A22" t="s">
        <v>118</v>
      </c>
      <c r="B22">
        <v>707</v>
      </c>
      <c r="C22" s="1">
        <v>43001</v>
      </c>
      <c r="D22">
        <v>9</v>
      </c>
      <c r="E22">
        <v>45</v>
      </c>
    </row>
    <row r="23" spans="1:5" x14ac:dyDescent="0.25">
      <c r="A23" t="s">
        <v>115</v>
      </c>
      <c r="B23">
        <v>563</v>
      </c>
      <c r="C23" s="1">
        <v>44052</v>
      </c>
      <c r="D23">
        <v>8</v>
      </c>
      <c r="E23">
        <v>53</v>
      </c>
    </row>
    <row r="24" spans="1:5" x14ac:dyDescent="0.25">
      <c r="A24" t="s">
        <v>40</v>
      </c>
      <c r="B24">
        <v>570</v>
      </c>
      <c r="C24" s="1">
        <v>44423</v>
      </c>
      <c r="D24">
        <v>8</v>
      </c>
      <c r="E24">
        <v>129</v>
      </c>
    </row>
    <row r="25" spans="1:5" x14ac:dyDescent="0.25">
      <c r="A25" t="s">
        <v>82</v>
      </c>
      <c r="B25">
        <v>335</v>
      </c>
      <c r="C25" s="1">
        <v>43825</v>
      </c>
      <c r="D25">
        <v>12</v>
      </c>
      <c r="E25">
        <v>131</v>
      </c>
    </row>
    <row r="26" spans="1:5" x14ac:dyDescent="0.25">
      <c r="A26" t="s">
        <v>63</v>
      </c>
      <c r="B26">
        <v>1458</v>
      </c>
      <c r="C26" s="1">
        <v>43178</v>
      </c>
      <c r="D26">
        <v>3</v>
      </c>
      <c r="E26">
        <v>476</v>
      </c>
    </row>
    <row r="27" spans="1:5" x14ac:dyDescent="0.25">
      <c r="A27" t="s">
        <v>40</v>
      </c>
      <c r="B27">
        <v>380</v>
      </c>
      <c r="C27" s="1">
        <v>44337</v>
      </c>
      <c r="D27">
        <v>5</v>
      </c>
      <c r="E27">
        <v>512</v>
      </c>
    </row>
    <row r="28" spans="1:5" x14ac:dyDescent="0.25">
      <c r="A28" t="s">
        <v>80</v>
      </c>
      <c r="B28">
        <v>447</v>
      </c>
      <c r="C28" s="1">
        <v>43760</v>
      </c>
      <c r="D28">
        <v>10</v>
      </c>
      <c r="E28">
        <v>20</v>
      </c>
    </row>
    <row r="29" spans="1:5" x14ac:dyDescent="0.25">
      <c r="A29" t="s">
        <v>60</v>
      </c>
      <c r="B29">
        <v>538</v>
      </c>
      <c r="C29" s="1">
        <v>43996</v>
      </c>
      <c r="D29">
        <v>6</v>
      </c>
      <c r="E29">
        <v>145</v>
      </c>
    </row>
    <row r="30" spans="1:5" x14ac:dyDescent="0.25">
      <c r="A30" t="s">
        <v>61</v>
      </c>
      <c r="B30">
        <v>111</v>
      </c>
      <c r="C30" s="1">
        <v>42937</v>
      </c>
      <c r="D30">
        <v>7</v>
      </c>
      <c r="E30">
        <v>443</v>
      </c>
    </row>
    <row r="31" spans="1:5" x14ac:dyDescent="0.25">
      <c r="A31" t="s">
        <v>33</v>
      </c>
      <c r="B31">
        <v>469</v>
      </c>
      <c r="C31" s="1">
        <v>44186</v>
      </c>
      <c r="D31">
        <v>12</v>
      </c>
      <c r="E31">
        <v>198</v>
      </c>
    </row>
    <row r="32" spans="1:5" x14ac:dyDescent="0.25">
      <c r="A32" t="s">
        <v>75</v>
      </c>
      <c r="B32">
        <v>228</v>
      </c>
      <c r="C32" s="1">
        <v>43787</v>
      </c>
      <c r="D32">
        <v>11</v>
      </c>
      <c r="E32">
        <v>163</v>
      </c>
    </row>
    <row r="33" spans="1:5" x14ac:dyDescent="0.25">
      <c r="A33" t="s">
        <v>60</v>
      </c>
      <c r="B33">
        <v>108</v>
      </c>
      <c r="C33" s="1">
        <v>43808</v>
      </c>
      <c r="D33">
        <v>12</v>
      </c>
      <c r="E33">
        <v>309</v>
      </c>
    </row>
    <row r="34" spans="1:5" x14ac:dyDescent="0.25">
      <c r="A34" t="s">
        <v>117</v>
      </c>
      <c r="B34">
        <v>496</v>
      </c>
      <c r="C34" s="1">
        <v>44408</v>
      </c>
      <c r="D34">
        <v>7</v>
      </c>
      <c r="E34">
        <v>476</v>
      </c>
    </row>
    <row r="35" spans="1:5" x14ac:dyDescent="0.25">
      <c r="A35" t="s">
        <v>61</v>
      </c>
      <c r="B35">
        <v>186</v>
      </c>
      <c r="C35" s="1">
        <v>42706</v>
      </c>
      <c r="D35">
        <v>12</v>
      </c>
      <c r="E35">
        <v>417</v>
      </c>
    </row>
    <row r="36" spans="1:5" x14ac:dyDescent="0.25">
      <c r="A36" t="s">
        <v>35</v>
      </c>
      <c r="B36">
        <v>1080</v>
      </c>
      <c r="C36" s="1">
        <v>43146</v>
      </c>
      <c r="D36">
        <v>2</v>
      </c>
      <c r="E36">
        <v>23</v>
      </c>
    </row>
    <row r="37" spans="1:5" x14ac:dyDescent="0.25">
      <c r="A37" t="s">
        <v>70</v>
      </c>
      <c r="B37">
        <v>1048</v>
      </c>
      <c r="C37" s="1">
        <v>43936</v>
      </c>
      <c r="D37">
        <v>4</v>
      </c>
      <c r="E37">
        <v>452</v>
      </c>
    </row>
    <row r="38" spans="1:5" x14ac:dyDescent="0.25">
      <c r="A38" t="s">
        <v>95</v>
      </c>
      <c r="B38">
        <v>1729</v>
      </c>
      <c r="C38" s="1">
        <v>44252</v>
      </c>
      <c r="D38">
        <v>2</v>
      </c>
      <c r="E38">
        <v>408</v>
      </c>
    </row>
    <row r="39" spans="1:5" x14ac:dyDescent="0.25">
      <c r="A39" t="s">
        <v>47</v>
      </c>
      <c r="B39">
        <v>603</v>
      </c>
      <c r="C39" s="1">
        <v>43805</v>
      </c>
      <c r="D39">
        <v>12</v>
      </c>
      <c r="E39">
        <v>315</v>
      </c>
    </row>
    <row r="40" spans="1:5" x14ac:dyDescent="0.25">
      <c r="A40" t="s">
        <v>83</v>
      </c>
      <c r="B40">
        <v>1233</v>
      </c>
      <c r="C40" s="1">
        <v>43878</v>
      </c>
      <c r="D40">
        <v>2</v>
      </c>
      <c r="E40">
        <v>176</v>
      </c>
    </row>
    <row r="41" spans="1:5" x14ac:dyDescent="0.25">
      <c r="A41" t="s">
        <v>47</v>
      </c>
      <c r="B41">
        <v>562</v>
      </c>
      <c r="C41" s="1">
        <v>44380</v>
      </c>
      <c r="D41">
        <v>7</v>
      </c>
      <c r="E41">
        <v>294</v>
      </c>
    </row>
    <row r="42" spans="1:5" x14ac:dyDescent="0.25">
      <c r="A42" t="s">
        <v>91</v>
      </c>
      <c r="B42">
        <v>173</v>
      </c>
      <c r="C42" s="1">
        <v>43820</v>
      </c>
      <c r="D42">
        <v>12</v>
      </c>
      <c r="E42">
        <v>245</v>
      </c>
    </row>
    <row r="43" spans="1:5" x14ac:dyDescent="0.25">
      <c r="A43" t="s">
        <v>71</v>
      </c>
      <c r="B43">
        <v>103</v>
      </c>
      <c r="C43" s="1">
        <v>43845</v>
      </c>
      <c r="D43">
        <v>1</v>
      </c>
      <c r="E43">
        <v>474</v>
      </c>
    </row>
    <row r="44" spans="1:5" x14ac:dyDescent="0.25">
      <c r="A44" t="s">
        <v>73</v>
      </c>
      <c r="B44">
        <v>282</v>
      </c>
      <c r="C44" s="1">
        <v>44226</v>
      </c>
      <c r="D44">
        <v>1</v>
      </c>
      <c r="E44">
        <v>346</v>
      </c>
    </row>
    <row r="45" spans="1:5" x14ac:dyDescent="0.25">
      <c r="A45" t="s">
        <v>51</v>
      </c>
      <c r="B45">
        <v>633</v>
      </c>
      <c r="C45" s="1">
        <v>42561</v>
      </c>
      <c r="D45">
        <v>7</v>
      </c>
      <c r="E45">
        <v>39</v>
      </c>
    </row>
    <row r="46" spans="1:5" x14ac:dyDescent="0.25">
      <c r="A46" t="s">
        <v>53</v>
      </c>
      <c r="B46">
        <v>703</v>
      </c>
      <c r="C46" s="1">
        <v>43326</v>
      </c>
      <c r="D46">
        <v>8</v>
      </c>
      <c r="E46">
        <v>112</v>
      </c>
    </row>
    <row r="47" spans="1:5" x14ac:dyDescent="0.25">
      <c r="A47" t="s">
        <v>95</v>
      </c>
      <c r="B47">
        <v>665</v>
      </c>
      <c r="C47" s="1">
        <v>43817</v>
      </c>
      <c r="D47">
        <v>12</v>
      </c>
      <c r="E47">
        <v>593</v>
      </c>
    </row>
    <row r="48" spans="1:5" x14ac:dyDescent="0.25">
      <c r="A48" t="s">
        <v>90</v>
      </c>
      <c r="B48">
        <v>1138</v>
      </c>
      <c r="C48" s="1">
        <v>44315</v>
      </c>
      <c r="D48">
        <v>4</v>
      </c>
      <c r="E48">
        <v>399</v>
      </c>
    </row>
    <row r="49" spans="1:5" x14ac:dyDescent="0.25">
      <c r="A49" t="s">
        <v>82</v>
      </c>
      <c r="B49">
        <v>306</v>
      </c>
      <c r="C49" s="1">
        <v>44317</v>
      </c>
      <c r="D49">
        <v>5</v>
      </c>
      <c r="E49">
        <v>169</v>
      </c>
    </row>
    <row r="50" spans="1:5" x14ac:dyDescent="0.25">
      <c r="A50" t="s">
        <v>70</v>
      </c>
      <c r="B50">
        <v>450</v>
      </c>
      <c r="C50" s="1">
        <v>43978</v>
      </c>
      <c r="D50">
        <v>5</v>
      </c>
      <c r="E50">
        <v>462</v>
      </c>
    </row>
    <row r="51" spans="1:5" x14ac:dyDescent="0.25">
      <c r="A51" t="s">
        <v>91</v>
      </c>
      <c r="B51">
        <v>545</v>
      </c>
      <c r="C51" s="1">
        <v>43614</v>
      </c>
      <c r="D51">
        <v>5</v>
      </c>
      <c r="E51">
        <v>349</v>
      </c>
    </row>
    <row r="52" spans="1:5" x14ac:dyDescent="0.25">
      <c r="A52" t="s">
        <v>93</v>
      </c>
      <c r="B52">
        <v>778</v>
      </c>
      <c r="C52" s="1">
        <v>43796</v>
      </c>
      <c r="D52">
        <v>11</v>
      </c>
      <c r="E52">
        <v>351</v>
      </c>
    </row>
    <row r="53" spans="1:5" x14ac:dyDescent="0.25">
      <c r="A53" t="s">
        <v>34</v>
      </c>
      <c r="B53">
        <v>222</v>
      </c>
      <c r="C53" s="1">
        <v>44396</v>
      </c>
      <c r="D53">
        <v>7</v>
      </c>
      <c r="E53">
        <v>589</v>
      </c>
    </row>
    <row r="54" spans="1:5" x14ac:dyDescent="0.25">
      <c r="A54" t="s">
        <v>43</v>
      </c>
      <c r="B54">
        <v>1225</v>
      </c>
      <c r="C54" s="1">
        <v>43930</v>
      </c>
      <c r="D54">
        <v>4</v>
      </c>
      <c r="E54">
        <v>342</v>
      </c>
    </row>
    <row r="55" spans="1:5" x14ac:dyDescent="0.25">
      <c r="A55" t="s">
        <v>62</v>
      </c>
      <c r="B55">
        <v>768</v>
      </c>
      <c r="C55" s="1">
        <v>43985</v>
      </c>
      <c r="D55">
        <v>6</v>
      </c>
      <c r="E55">
        <v>147</v>
      </c>
    </row>
    <row r="56" spans="1:5" x14ac:dyDescent="0.25">
      <c r="A56" t="s">
        <v>73</v>
      </c>
      <c r="B56">
        <v>1971</v>
      </c>
      <c r="C56" s="1">
        <v>43940</v>
      </c>
      <c r="D56">
        <v>4</v>
      </c>
      <c r="E56">
        <v>217</v>
      </c>
    </row>
    <row r="57" spans="1:5" x14ac:dyDescent="0.25">
      <c r="A57" t="s">
        <v>93</v>
      </c>
      <c r="B57">
        <v>365</v>
      </c>
      <c r="C57" s="1">
        <v>44336</v>
      </c>
      <c r="D57">
        <v>5</v>
      </c>
      <c r="E57">
        <v>481</v>
      </c>
    </row>
    <row r="58" spans="1:5" x14ac:dyDescent="0.25">
      <c r="A58" t="s">
        <v>92</v>
      </c>
      <c r="B58">
        <v>238</v>
      </c>
      <c r="C58" s="1">
        <v>42737</v>
      </c>
      <c r="D58">
        <v>1</v>
      </c>
      <c r="E58">
        <v>412</v>
      </c>
    </row>
    <row r="59" spans="1:5" x14ac:dyDescent="0.25">
      <c r="A59" t="s">
        <v>53</v>
      </c>
      <c r="B59">
        <v>726</v>
      </c>
      <c r="C59" s="1">
        <v>43051</v>
      </c>
      <c r="D59">
        <v>11</v>
      </c>
      <c r="E59">
        <v>206</v>
      </c>
    </row>
    <row r="60" spans="1:5" x14ac:dyDescent="0.25">
      <c r="A60" t="s">
        <v>62</v>
      </c>
      <c r="B60">
        <v>511</v>
      </c>
      <c r="C60" s="1">
        <v>43972</v>
      </c>
      <c r="D60">
        <v>5</v>
      </c>
      <c r="E60">
        <v>278</v>
      </c>
    </row>
    <row r="61" spans="1:5" x14ac:dyDescent="0.25">
      <c r="A61" t="s">
        <v>81</v>
      </c>
      <c r="B61">
        <v>547</v>
      </c>
      <c r="C61" s="1">
        <v>44432</v>
      </c>
      <c r="D61">
        <v>8</v>
      </c>
      <c r="E61">
        <v>216</v>
      </c>
    </row>
    <row r="62" spans="1:5" x14ac:dyDescent="0.25">
      <c r="A62" t="s">
        <v>95</v>
      </c>
      <c r="B62">
        <v>498</v>
      </c>
      <c r="C62" s="1">
        <v>44034</v>
      </c>
      <c r="D62">
        <v>7</v>
      </c>
      <c r="E62">
        <v>318</v>
      </c>
    </row>
    <row r="63" spans="1:5" x14ac:dyDescent="0.25">
      <c r="A63" t="s">
        <v>32</v>
      </c>
      <c r="B63">
        <v>868</v>
      </c>
      <c r="C63" s="1">
        <v>43545</v>
      </c>
      <c r="D63">
        <v>3</v>
      </c>
      <c r="E63">
        <v>129</v>
      </c>
    </row>
    <row r="64" spans="1:5" x14ac:dyDescent="0.25">
      <c r="A64" t="s">
        <v>114</v>
      </c>
      <c r="B64">
        <v>1188</v>
      </c>
      <c r="C64" s="1">
        <v>43867</v>
      </c>
      <c r="D64">
        <v>2</v>
      </c>
      <c r="E64">
        <v>20</v>
      </c>
    </row>
    <row r="65" spans="1:5" x14ac:dyDescent="0.25">
      <c r="A65" t="s">
        <v>43</v>
      </c>
      <c r="B65">
        <v>170</v>
      </c>
      <c r="C65" s="1">
        <v>43595</v>
      </c>
      <c r="D65">
        <v>5</v>
      </c>
      <c r="E65">
        <v>127</v>
      </c>
    </row>
    <row r="66" spans="1:5" x14ac:dyDescent="0.25">
      <c r="A66" t="s">
        <v>35</v>
      </c>
      <c r="B66">
        <v>704</v>
      </c>
      <c r="C66" s="1">
        <v>44369</v>
      </c>
      <c r="D66">
        <v>6</v>
      </c>
      <c r="E66">
        <v>38</v>
      </c>
    </row>
    <row r="67" spans="1:5" x14ac:dyDescent="0.25">
      <c r="A67" t="s">
        <v>97</v>
      </c>
      <c r="B67">
        <v>1761</v>
      </c>
      <c r="C67" s="1">
        <v>43206</v>
      </c>
      <c r="D67">
        <v>4</v>
      </c>
      <c r="E67">
        <v>402</v>
      </c>
    </row>
    <row r="68" spans="1:5" x14ac:dyDescent="0.25">
      <c r="A68" t="s">
        <v>114</v>
      </c>
      <c r="B68">
        <v>461</v>
      </c>
      <c r="C68" s="1">
        <v>42933</v>
      </c>
      <c r="D68">
        <v>7</v>
      </c>
      <c r="E68">
        <v>186</v>
      </c>
    </row>
    <row r="69" spans="1:5" x14ac:dyDescent="0.25">
      <c r="A69" t="s">
        <v>31</v>
      </c>
      <c r="B69">
        <v>1500</v>
      </c>
      <c r="C69" s="1">
        <v>43887</v>
      </c>
      <c r="D69">
        <v>2</v>
      </c>
      <c r="E69">
        <v>343</v>
      </c>
    </row>
    <row r="70" spans="1:5" x14ac:dyDescent="0.25">
      <c r="A70" t="s">
        <v>118</v>
      </c>
      <c r="B70">
        <v>1268</v>
      </c>
      <c r="C70" s="1">
        <v>44234</v>
      </c>
      <c r="D70">
        <v>2</v>
      </c>
      <c r="E70">
        <v>197</v>
      </c>
    </row>
    <row r="71" spans="1:5" x14ac:dyDescent="0.25">
      <c r="A71" t="s">
        <v>33</v>
      </c>
      <c r="B71">
        <v>252</v>
      </c>
      <c r="C71" s="1">
        <v>44319</v>
      </c>
      <c r="D71">
        <v>5</v>
      </c>
      <c r="E71">
        <v>600</v>
      </c>
    </row>
    <row r="72" spans="1:5" x14ac:dyDescent="0.25">
      <c r="A72" t="s">
        <v>33</v>
      </c>
      <c r="B72">
        <v>445</v>
      </c>
      <c r="C72" s="1">
        <v>43586</v>
      </c>
      <c r="D72">
        <v>5</v>
      </c>
      <c r="E72">
        <v>97</v>
      </c>
    </row>
    <row r="73" spans="1:5" x14ac:dyDescent="0.25">
      <c r="A73" t="s">
        <v>40</v>
      </c>
      <c r="B73">
        <v>456</v>
      </c>
      <c r="C73" s="1">
        <v>43346</v>
      </c>
      <c r="D73">
        <v>9</v>
      </c>
      <c r="E73">
        <v>123</v>
      </c>
    </row>
    <row r="74" spans="1:5" x14ac:dyDescent="0.25">
      <c r="A74" t="s">
        <v>40</v>
      </c>
      <c r="B74">
        <v>572</v>
      </c>
      <c r="C74" s="1">
        <v>43838</v>
      </c>
      <c r="D74">
        <v>1</v>
      </c>
      <c r="E74">
        <v>249</v>
      </c>
    </row>
    <row r="75" spans="1:5" x14ac:dyDescent="0.25">
      <c r="A75" t="s">
        <v>44</v>
      </c>
      <c r="B75">
        <v>295</v>
      </c>
      <c r="C75" s="1">
        <v>44123</v>
      </c>
      <c r="D75">
        <v>10</v>
      </c>
      <c r="E75">
        <v>20</v>
      </c>
    </row>
    <row r="76" spans="1:5" x14ac:dyDescent="0.25">
      <c r="A76" t="s">
        <v>41</v>
      </c>
      <c r="B76">
        <v>269</v>
      </c>
      <c r="C76" s="1">
        <v>43994</v>
      </c>
      <c r="D76">
        <v>6</v>
      </c>
      <c r="E76">
        <v>581</v>
      </c>
    </row>
    <row r="77" spans="1:5" x14ac:dyDescent="0.25">
      <c r="A77" t="s">
        <v>32</v>
      </c>
      <c r="B77">
        <v>309</v>
      </c>
      <c r="C77" s="1">
        <v>43697</v>
      </c>
      <c r="D77">
        <v>8</v>
      </c>
      <c r="E77">
        <v>218</v>
      </c>
    </row>
    <row r="78" spans="1:5" x14ac:dyDescent="0.25">
      <c r="A78" t="s">
        <v>113</v>
      </c>
      <c r="B78">
        <v>205</v>
      </c>
      <c r="C78" s="1">
        <v>44401</v>
      </c>
      <c r="D78">
        <v>7</v>
      </c>
      <c r="E78">
        <v>174</v>
      </c>
    </row>
    <row r="79" spans="1:5" x14ac:dyDescent="0.25">
      <c r="A79" t="s">
        <v>74</v>
      </c>
      <c r="B79">
        <v>470</v>
      </c>
      <c r="C79" s="1">
        <v>42337</v>
      </c>
      <c r="D79">
        <v>11</v>
      </c>
      <c r="E79">
        <v>65</v>
      </c>
    </row>
    <row r="80" spans="1:5" x14ac:dyDescent="0.25">
      <c r="A80" t="s">
        <v>114</v>
      </c>
      <c r="B80">
        <v>777</v>
      </c>
      <c r="C80" s="1">
        <v>43281</v>
      </c>
      <c r="D80">
        <v>6</v>
      </c>
      <c r="E80">
        <v>442</v>
      </c>
    </row>
    <row r="81" spans="1:5" x14ac:dyDescent="0.25">
      <c r="A81" t="s">
        <v>47</v>
      </c>
      <c r="B81">
        <v>737</v>
      </c>
      <c r="C81" s="1">
        <v>42727</v>
      </c>
      <c r="D81">
        <v>12</v>
      </c>
      <c r="E81">
        <v>305</v>
      </c>
    </row>
    <row r="82" spans="1:5" x14ac:dyDescent="0.25">
      <c r="A82" t="s">
        <v>34</v>
      </c>
      <c r="B82">
        <v>1069</v>
      </c>
      <c r="C82" s="1">
        <v>44308</v>
      </c>
      <c r="D82">
        <v>4</v>
      </c>
      <c r="E82">
        <v>95</v>
      </c>
    </row>
    <row r="83" spans="1:5" x14ac:dyDescent="0.25">
      <c r="A83" t="s">
        <v>80</v>
      </c>
      <c r="B83">
        <v>461</v>
      </c>
      <c r="C83" s="1">
        <v>44431</v>
      </c>
      <c r="D83">
        <v>8</v>
      </c>
      <c r="E83">
        <v>489</v>
      </c>
    </row>
    <row r="84" spans="1:5" x14ac:dyDescent="0.25">
      <c r="A84" t="s">
        <v>74</v>
      </c>
      <c r="B84">
        <v>1770</v>
      </c>
      <c r="C84" s="1">
        <v>43568</v>
      </c>
      <c r="D84">
        <v>4</v>
      </c>
      <c r="E84">
        <v>320</v>
      </c>
    </row>
    <row r="85" spans="1:5" x14ac:dyDescent="0.25">
      <c r="A85" t="s">
        <v>117</v>
      </c>
      <c r="B85">
        <v>704</v>
      </c>
      <c r="C85" s="1">
        <v>44098</v>
      </c>
      <c r="D85">
        <v>9</v>
      </c>
      <c r="E85">
        <v>304</v>
      </c>
    </row>
    <row r="86" spans="1:5" x14ac:dyDescent="0.25">
      <c r="A86" t="s">
        <v>46</v>
      </c>
      <c r="B86">
        <v>762</v>
      </c>
      <c r="C86" s="1">
        <v>43997</v>
      </c>
      <c r="D86">
        <v>6</v>
      </c>
      <c r="E86">
        <v>465</v>
      </c>
    </row>
    <row r="87" spans="1:5" x14ac:dyDescent="0.25">
      <c r="A87" t="s">
        <v>89</v>
      </c>
      <c r="B87">
        <v>677</v>
      </c>
      <c r="C87" s="1">
        <v>43449</v>
      </c>
      <c r="D87">
        <v>12</v>
      </c>
      <c r="E87">
        <v>223</v>
      </c>
    </row>
    <row r="88" spans="1:5" x14ac:dyDescent="0.25">
      <c r="A88" t="s">
        <v>43</v>
      </c>
      <c r="B88">
        <v>1605</v>
      </c>
      <c r="C88" s="1">
        <v>44276</v>
      </c>
      <c r="D88">
        <v>3</v>
      </c>
      <c r="E88">
        <v>581</v>
      </c>
    </row>
    <row r="89" spans="1:5" x14ac:dyDescent="0.25">
      <c r="A89" t="s">
        <v>95</v>
      </c>
      <c r="B89">
        <v>618</v>
      </c>
      <c r="C89" s="1">
        <v>43845</v>
      </c>
      <c r="D89">
        <v>1</v>
      </c>
      <c r="E89">
        <v>484</v>
      </c>
    </row>
    <row r="90" spans="1:5" x14ac:dyDescent="0.25">
      <c r="A90" t="s">
        <v>43</v>
      </c>
      <c r="B90">
        <v>125</v>
      </c>
      <c r="C90" s="1">
        <v>43706</v>
      </c>
      <c r="D90">
        <v>8</v>
      </c>
      <c r="E90">
        <v>554</v>
      </c>
    </row>
    <row r="91" spans="1:5" x14ac:dyDescent="0.25">
      <c r="A91" t="s">
        <v>35</v>
      </c>
      <c r="B91">
        <v>765</v>
      </c>
      <c r="C91" s="1">
        <v>44423</v>
      </c>
      <c r="D91">
        <v>8</v>
      </c>
      <c r="E91">
        <v>262</v>
      </c>
    </row>
    <row r="92" spans="1:5" x14ac:dyDescent="0.25">
      <c r="A92" t="s">
        <v>82</v>
      </c>
      <c r="B92">
        <v>1359</v>
      </c>
      <c r="C92" s="1">
        <v>43563</v>
      </c>
      <c r="D92">
        <v>4</v>
      </c>
      <c r="E92">
        <v>340</v>
      </c>
    </row>
    <row r="93" spans="1:5" x14ac:dyDescent="0.25">
      <c r="A93" t="s">
        <v>32</v>
      </c>
      <c r="B93">
        <v>210</v>
      </c>
      <c r="C93" s="1">
        <v>44445</v>
      </c>
      <c r="D93">
        <v>9</v>
      </c>
      <c r="E93">
        <v>28</v>
      </c>
    </row>
    <row r="94" spans="1:5" x14ac:dyDescent="0.25">
      <c r="A94" t="s">
        <v>52</v>
      </c>
      <c r="B94">
        <v>343</v>
      </c>
      <c r="C94" s="1">
        <v>44431</v>
      </c>
      <c r="D94">
        <v>8</v>
      </c>
      <c r="E94">
        <v>294</v>
      </c>
    </row>
    <row r="95" spans="1:5" x14ac:dyDescent="0.25">
      <c r="A95" t="s">
        <v>91</v>
      </c>
      <c r="B95">
        <v>208</v>
      </c>
      <c r="C95" s="1">
        <v>43634</v>
      </c>
      <c r="D95">
        <v>6</v>
      </c>
      <c r="E95">
        <v>180</v>
      </c>
    </row>
    <row r="96" spans="1:5" x14ac:dyDescent="0.25">
      <c r="A96" t="s">
        <v>95</v>
      </c>
      <c r="B96">
        <v>441</v>
      </c>
      <c r="C96" s="1">
        <v>44144</v>
      </c>
      <c r="D96">
        <v>11</v>
      </c>
      <c r="E96">
        <v>88</v>
      </c>
    </row>
    <row r="97" spans="1:5" x14ac:dyDescent="0.25">
      <c r="A97" t="s">
        <v>41</v>
      </c>
      <c r="B97">
        <v>410</v>
      </c>
      <c r="C97" s="1">
        <v>44104</v>
      </c>
      <c r="D97">
        <v>9</v>
      </c>
      <c r="E97">
        <v>382</v>
      </c>
    </row>
    <row r="98" spans="1:5" x14ac:dyDescent="0.25">
      <c r="A98" t="s">
        <v>102</v>
      </c>
      <c r="B98">
        <v>445</v>
      </c>
      <c r="C98" s="1">
        <v>43837</v>
      </c>
      <c r="D98">
        <v>1</v>
      </c>
      <c r="E98">
        <v>273</v>
      </c>
    </row>
    <row r="99" spans="1:5" x14ac:dyDescent="0.25">
      <c r="A99" t="s">
        <v>118</v>
      </c>
      <c r="B99">
        <v>650</v>
      </c>
      <c r="C99" s="1">
        <v>43170</v>
      </c>
      <c r="D99">
        <v>3</v>
      </c>
      <c r="E99">
        <v>271</v>
      </c>
    </row>
    <row r="100" spans="1:5" x14ac:dyDescent="0.25">
      <c r="A100" t="s">
        <v>52</v>
      </c>
      <c r="B100">
        <v>271</v>
      </c>
      <c r="C100" s="1">
        <v>43988</v>
      </c>
      <c r="D100">
        <v>6</v>
      </c>
      <c r="E100">
        <v>446</v>
      </c>
    </row>
    <row r="101" spans="1:5" x14ac:dyDescent="0.25">
      <c r="A101" t="s">
        <v>60</v>
      </c>
      <c r="B101">
        <v>740</v>
      </c>
      <c r="C101" s="1">
        <v>44104</v>
      </c>
      <c r="D101">
        <v>9</v>
      </c>
      <c r="E101">
        <v>75</v>
      </c>
    </row>
    <row r="102" spans="1:5" x14ac:dyDescent="0.25">
      <c r="A102" t="s">
        <v>82</v>
      </c>
      <c r="B102">
        <v>823</v>
      </c>
      <c r="C102" s="1">
        <v>44236</v>
      </c>
      <c r="D102">
        <v>2</v>
      </c>
      <c r="E102">
        <v>187</v>
      </c>
    </row>
    <row r="103" spans="1:5" x14ac:dyDescent="0.25">
      <c r="A103" t="s">
        <v>46</v>
      </c>
      <c r="B103">
        <v>548</v>
      </c>
      <c r="C103" s="1">
        <v>43992</v>
      </c>
      <c r="D103">
        <v>6</v>
      </c>
      <c r="E103">
        <v>124</v>
      </c>
    </row>
    <row r="104" spans="1:5" x14ac:dyDescent="0.25">
      <c r="A104" t="s">
        <v>89</v>
      </c>
      <c r="B104">
        <v>668</v>
      </c>
      <c r="C104" s="1">
        <v>43839</v>
      </c>
      <c r="D104">
        <v>1</v>
      </c>
      <c r="E104">
        <v>221</v>
      </c>
    </row>
    <row r="105" spans="1:5" x14ac:dyDescent="0.25">
      <c r="A105" t="s">
        <v>64</v>
      </c>
      <c r="B105">
        <v>1454</v>
      </c>
      <c r="C105" s="1">
        <v>43175</v>
      </c>
      <c r="D105">
        <v>3</v>
      </c>
      <c r="E105">
        <v>475</v>
      </c>
    </row>
    <row r="106" spans="1:5" x14ac:dyDescent="0.25">
      <c r="A106" t="s">
        <v>118</v>
      </c>
      <c r="B106">
        <v>1235</v>
      </c>
      <c r="C106" s="1">
        <v>43874</v>
      </c>
      <c r="D106">
        <v>2</v>
      </c>
      <c r="E106">
        <v>399</v>
      </c>
    </row>
    <row r="107" spans="1:5" x14ac:dyDescent="0.25">
      <c r="A107" t="s">
        <v>33</v>
      </c>
      <c r="B107">
        <v>1843</v>
      </c>
      <c r="C107" s="1">
        <v>44289</v>
      </c>
      <c r="D107">
        <v>4</v>
      </c>
      <c r="E107">
        <v>154</v>
      </c>
    </row>
    <row r="108" spans="1:5" x14ac:dyDescent="0.25">
      <c r="A108" t="s">
        <v>42</v>
      </c>
      <c r="B108">
        <v>676</v>
      </c>
      <c r="C108" s="1">
        <v>44013</v>
      </c>
      <c r="D108">
        <v>7</v>
      </c>
      <c r="E108">
        <v>394</v>
      </c>
    </row>
    <row r="109" spans="1:5" x14ac:dyDescent="0.25">
      <c r="A109" t="s">
        <v>92</v>
      </c>
      <c r="B109">
        <v>1889</v>
      </c>
      <c r="C109" s="1">
        <v>42774</v>
      </c>
      <c r="D109">
        <v>2</v>
      </c>
      <c r="E109">
        <v>309</v>
      </c>
    </row>
    <row r="110" spans="1:5" x14ac:dyDescent="0.25">
      <c r="A110" t="s">
        <v>46</v>
      </c>
      <c r="B110">
        <v>158</v>
      </c>
      <c r="C110" s="1">
        <v>43775</v>
      </c>
      <c r="D110">
        <v>11</v>
      </c>
      <c r="E110">
        <v>24</v>
      </c>
    </row>
    <row r="111" spans="1:5" x14ac:dyDescent="0.25">
      <c r="A111" t="s">
        <v>47</v>
      </c>
      <c r="B111">
        <v>121</v>
      </c>
      <c r="C111" s="1">
        <v>44108</v>
      </c>
      <c r="D111">
        <v>10</v>
      </c>
      <c r="E111">
        <v>566</v>
      </c>
    </row>
    <row r="112" spans="1:5" x14ac:dyDescent="0.25">
      <c r="A112" t="s">
        <v>53</v>
      </c>
      <c r="B112">
        <v>453</v>
      </c>
      <c r="C112" s="1">
        <v>43635</v>
      </c>
      <c r="D112">
        <v>6</v>
      </c>
      <c r="E112">
        <v>571</v>
      </c>
    </row>
    <row r="113" spans="1:5" x14ac:dyDescent="0.25">
      <c r="A113" t="s">
        <v>73</v>
      </c>
      <c r="B113">
        <v>528</v>
      </c>
      <c r="C113" s="1">
        <v>43301</v>
      </c>
      <c r="D113">
        <v>7</v>
      </c>
      <c r="E113">
        <v>540</v>
      </c>
    </row>
    <row r="114" spans="1:5" x14ac:dyDescent="0.25">
      <c r="A114" t="s">
        <v>74</v>
      </c>
      <c r="B114">
        <v>752</v>
      </c>
      <c r="C114" s="1">
        <v>44446</v>
      </c>
      <c r="D114">
        <v>9</v>
      </c>
      <c r="E114">
        <v>7</v>
      </c>
    </row>
    <row r="115" spans="1:5" x14ac:dyDescent="0.25">
      <c r="A115" t="s">
        <v>83</v>
      </c>
      <c r="B115">
        <v>214</v>
      </c>
      <c r="C115" s="1">
        <v>43835</v>
      </c>
      <c r="D115">
        <v>1</v>
      </c>
      <c r="E115">
        <v>267</v>
      </c>
    </row>
    <row r="116" spans="1:5" x14ac:dyDescent="0.25">
      <c r="A116" t="s">
        <v>92</v>
      </c>
      <c r="B116">
        <v>771</v>
      </c>
      <c r="C116" s="1">
        <v>43303</v>
      </c>
      <c r="D116">
        <v>7</v>
      </c>
      <c r="E116">
        <v>494</v>
      </c>
    </row>
    <row r="117" spans="1:5" x14ac:dyDescent="0.25">
      <c r="A117" t="s">
        <v>105</v>
      </c>
      <c r="B117">
        <v>560</v>
      </c>
      <c r="C117" s="1">
        <v>43669</v>
      </c>
      <c r="D117">
        <v>7</v>
      </c>
      <c r="E117">
        <v>552</v>
      </c>
    </row>
    <row r="118" spans="1:5" x14ac:dyDescent="0.25">
      <c r="A118" t="s">
        <v>72</v>
      </c>
      <c r="B118">
        <v>266</v>
      </c>
      <c r="C118" s="1">
        <v>44056</v>
      </c>
      <c r="D118">
        <v>8</v>
      </c>
      <c r="E118">
        <v>496</v>
      </c>
    </row>
    <row r="119" spans="1:5" x14ac:dyDescent="0.25">
      <c r="A119" t="s">
        <v>61</v>
      </c>
      <c r="B119">
        <v>105</v>
      </c>
      <c r="C119" s="1">
        <v>42725</v>
      </c>
      <c r="D119">
        <v>12</v>
      </c>
      <c r="E119">
        <v>29</v>
      </c>
    </row>
    <row r="120" spans="1:5" x14ac:dyDescent="0.25">
      <c r="A120" t="s">
        <v>80</v>
      </c>
      <c r="B120">
        <v>615</v>
      </c>
      <c r="C120" s="1">
        <v>44452</v>
      </c>
      <c r="D120">
        <v>9</v>
      </c>
      <c r="E120">
        <v>483</v>
      </c>
    </row>
    <row r="121" spans="1:5" x14ac:dyDescent="0.25">
      <c r="A121" t="s">
        <v>95</v>
      </c>
      <c r="B121">
        <v>622</v>
      </c>
      <c r="C121" s="1">
        <v>44034</v>
      </c>
      <c r="D121">
        <v>7</v>
      </c>
      <c r="E121">
        <v>333</v>
      </c>
    </row>
    <row r="122" spans="1:5" x14ac:dyDescent="0.25">
      <c r="A122" t="s">
        <v>61</v>
      </c>
      <c r="B122">
        <v>1212</v>
      </c>
      <c r="C122" s="1">
        <v>44257</v>
      </c>
      <c r="D122">
        <v>3</v>
      </c>
      <c r="E122">
        <v>267</v>
      </c>
    </row>
    <row r="123" spans="1:5" x14ac:dyDescent="0.25">
      <c r="A123" t="s">
        <v>51</v>
      </c>
      <c r="B123">
        <v>135</v>
      </c>
      <c r="C123" s="1">
        <v>43413</v>
      </c>
      <c r="D123">
        <v>11</v>
      </c>
      <c r="E123">
        <v>450</v>
      </c>
    </row>
    <row r="124" spans="1:5" x14ac:dyDescent="0.25">
      <c r="A124" t="s">
        <v>73</v>
      </c>
      <c r="B124">
        <v>317</v>
      </c>
      <c r="C124" s="1">
        <v>44080</v>
      </c>
      <c r="D124">
        <v>9</v>
      </c>
      <c r="E124">
        <v>564</v>
      </c>
    </row>
    <row r="125" spans="1:5" x14ac:dyDescent="0.25">
      <c r="A125" t="s">
        <v>63</v>
      </c>
      <c r="B125">
        <v>613</v>
      </c>
      <c r="C125" s="1">
        <v>43335</v>
      </c>
      <c r="D125">
        <v>8</v>
      </c>
      <c r="E125">
        <v>26</v>
      </c>
    </row>
    <row r="126" spans="1:5" x14ac:dyDescent="0.25">
      <c r="A126" t="s">
        <v>81</v>
      </c>
      <c r="B126">
        <v>1913</v>
      </c>
      <c r="C126" s="1">
        <v>44283</v>
      </c>
      <c r="D126">
        <v>3</v>
      </c>
      <c r="E126">
        <v>238</v>
      </c>
    </row>
    <row r="127" spans="1:5" x14ac:dyDescent="0.25">
      <c r="A127" t="s">
        <v>91</v>
      </c>
      <c r="B127">
        <v>492</v>
      </c>
      <c r="C127" s="1">
        <v>44341</v>
      </c>
      <c r="D127">
        <v>5</v>
      </c>
      <c r="E127">
        <v>89</v>
      </c>
    </row>
    <row r="128" spans="1:5" x14ac:dyDescent="0.25">
      <c r="A128" t="s">
        <v>117</v>
      </c>
      <c r="B128">
        <v>623</v>
      </c>
      <c r="C128" s="1">
        <v>43581</v>
      </c>
      <c r="D128">
        <v>4</v>
      </c>
      <c r="E128">
        <v>38</v>
      </c>
    </row>
    <row r="129" spans="1:5" x14ac:dyDescent="0.25">
      <c r="A129" t="s">
        <v>118</v>
      </c>
      <c r="B129">
        <v>401</v>
      </c>
      <c r="C129" s="1">
        <v>43671</v>
      </c>
      <c r="D129">
        <v>7</v>
      </c>
      <c r="E129">
        <v>248</v>
      </c>
    </row>
    <row r="130" spans="1:5" x14ac:dyDescent="0.25">
      <c r="A130" t="s">
        <v>89</v>
      </c>
      <c r="B130">
        <v>500</v>
      </c>
      <c r="C130" s="1">
        <v>43845</v>
      </c>
      <c r="D130">
        <v>1</v>
      </c>
      <c r="E130">
        <v>530</v>
      </c>
    </row>
    <row r="131" spans="1:5" x14ac:dyDescent="0.25">
      <c r="A131" t="s">
        <v>43</v>
      </c>
      <c r="B131">
        <v>1170</v>
      </c>
      <c r="C131" s="1">
        <v>43501</v>
      </c>
      <c r="D131">
        <v>2</v>
      </c>
      <c r="E131">
        <v>385</v>
      </c>
    </row>
    <row r="132" spans="1:5" x14ac:dyDescent="0.25">
      <c r="A132" t="s">
        <v>81</v>
      </c>
      <c r="B132">
        <v>613</v>
      </c>
      <c r="C132" s="1">
        <v>44398</v>
      </c>
      <c r="D132">
        <v>7</v>
      </c>
      <c r="E132">
        <v>6</v>
      </c>
    </row>
    <row r="133" spans="1:5" x14ac:dyDescent="0.25">
      <c r="A133" t="s">
        <v>46</v>
      </c>
      <c r="B133">
        <v>157</v>
      </c>
      <c r="C133" s="1">
        <v>44153</v>
      </c>
      <c r="D133">
        <v>11</v>
      </c>
      <c r="E133">
        <v>582</v>
      </c>
    </row>
    <row r="134" spans="1:5" x14ac:dyDescent="0.25">
      <c r="A134" t="s">
        <v>60</v>
      </c>
      <c r="B134">
        <v>355</v>
      </c>
      <c r="C134" s="1">
        <v>43743</v>
      </c>
      <c r="D134">
        <v>10</v>
      </c>
      <c r="E134">
        <v>391</v>
      </c>
    </row>
    <row r="135" spans="1:5" x14ac:dyDescent="0.25">
      <c r="A135" t="s">
        <v>97</v>
      </c>
      <c r="B135">
        <v>828</v>
      </c>
      <c r="C135" s="1">
        <v>43172</v>
      </c>
      <c r="D135">
        <v>3</v>
      </c>
      <c r="E135">
        <v>473</v>
      </c>
    </row>
    <row r="136" spans="1:5" x14ac:dyDescent="0.25">
      <c r="A136" t="s">
        <v>91</v>
      </c>
      <c r="B136">
        <v>166</v>
      </c>
      <c r="C136" s="1">
        <v>43778</v>
      </c>
      <c r="D136">
        <v>11</v>
      </c>
      <c r="E136">
        <v>479</v>
      </c>
    </row>
    <row r="137" spans="1:5" x14ac:dyDescent="0.25">
      <c r="A137" t="s">
        <v>46</v>
      </c>
      <c r="B137">
        <v>394</v>
      </c>
      <c r="C137" s="1">
        <v>44346</v>
      </c>
      <c r="D137">
        <v>5</v>
      </c>
      <c r="E137">
        <v>346</v>
      </c>
    </row>
    <row r="138" spans="1:5" x14ac:dyDescent="0.25">
      <c r="A138" t="s">
        <v>70</v>
      </c>
      <c r="B138">
        <v>227</v>
      </c>
      <c r="C138" s="1">
        <v>43762</v>
      </c>
      <c r="D138">
        <v>10</v>
      </c>
      <c r="E138">
        <v>551</v>
      </c>
    </row>
    <row r="139" spans="1:5" x14ac:dyDescent="0.25">
      <c r="A139" t="s">
        <v>63</v>
      </c>
      <c r="B139">
        <v>652</v>
      </c>
      <c r="C139" s="1">
        <v>43909</v>
      </c>
      <c r="D139">
        <v>3</v>
      </c>
      <c r="E139">
        <v>150</v>
      </c>
    </row>
    <row r="140" spans="1:5" x14ac:dyDescent="0.25">
      <c r="A140" t="s">
        <v>42</v>
      </c>
      <c r="B140">
        <v>684</v>
      </c>
      <c r="C140" s="1">
        <v>44198</v>
      </c>
      <c r="D140">
        <v>1</v>
      </c>
      <c r="E140">
        <v>338</v>
      </c>
    </row>
    <row r="141" spans="1:5" x14ac:dyDescent="0.25">
      <c r="A141" t="s">
        <v>43</v>
      </c>
      <c r="B141">
        <v>842</v>
      </c>
      <c r="C141" s="1">
        <v>43582</v>
      </c>
      <c r="D141">
        <v>4</v>
      </c>
      <c r="E141">
        <v>580</v>
      </c>
    </row>
    <row r="142" spans="1:5" x14ac:dyDescent="0.25">
      <c r="A142" t="s">
        <v>61</v>
      </c>
      <c r="B142">
        <v>1354</v>
      </c>
      <c r="C142" s="1">
        <v>43146</v>
      </c>
      <c r="D142">
        <v>2</v>
      </c>
      <c r="E142">
        <v>366</v>
      </c>
    </row>
    <row r="143" spans="1:5" x14ac:dyDescent="0.25">
      <c r="A143" t="s">
        <v>63</v>
      </c>
      <c r="B143">
        <v>120</v>
      </c>
      <c r="C143" s="1">
        <v>44053</v>
      </c>
      <c r="D143">
        <v>8</v>
      </c>
      <c r="E143">
        <v>325</v>
      </c>
    </row>
    <row r="144" spans="1:5" x14ac:dyDescent="0.25">
      <c r="A144" t="s">
        <v>115</v>
      </c>
      <c r="B144">
        <v>1761</v>
      </c>
      <c r="C144" s="1">
        <v>43873</v>
      </c>
      <c r="D144">
        <v>2</v>
      </c>
      <c r="E144">
        <v>308</v>
      </c>
    </row>
    <row r="145" spans="1:5" x14ac:dyDescent="0.25">
      <c r="A145" t="s">
        <v>45</v>
      </c>
      <c r="B145">
        <v>1521</v>
      </c>
      <c r="C145" s="1">
        <v>43936</v>
      </c>
      <c r="D145">
        <v>4</v>
      </c>
      <c r="E145">
        <v>228</v>
      </c>
    </row>
    <row r="146" spans="1:5" x14ac:dyDescent="0.25">
      <c r="A146" t="s">
        <v>64</v>
      </c>
      <c r="B146">
        <v>127</v>
      </c>
      <c r="C146" s="1">
        <v>43999</v>
      </c>
      <c r="D146">
        <v>6</v>
      </c>
      <c r="E146">
        <v>170</v>
      </c>
    </row>
    <row r="147" spans="1:5" x14ac:dyDescent="0.25">
      <c r="A147" t="s">
        <v>97</v>
      </c>
      <c r="B147">
        <v>844</v>
      </c>
      <c r="C147" s="1">
        <v>42468</v>
      </c>
      <c r="D147">
        <v>4</v>
      </c>
      <c r="E147">
        <v>220</v>
      </c>
    </row>
    <row r="148" spans="1:5" x14ac:dyDescent="0.25">
      <c r="A148" t="s">
        <v>71</v>
      </c>
      <c r="B148">
        <v>600</v>
      </c>
      <c r="C148" s="1">
        <v>44401</v>
      </c>
      <c r="D148">
        <v>7</v>
      </c>
      <c r="E148">
        <v>123</v>
      </c>
    </row>
    <row r="149" spans="1:5" x14ac:dyDescent="0.25">
      <c r="C149" s="1"/>
    </row>
    <row r="150" spans="1:5" x14ac:dyDescent="0.25">
      <c r="C150" s="1"/>
    </row>
    <row r="151" spans="1:5" x14ac:dyDescent="0.25">
      <c r="C151" s="1"/>
    </row>
    <row r="152" spans="1:5" x14ac:dyDescent="0.25">
      <c r="C152" s="1"/>
    </row>
    <row r="153" spans="1:5" x14ac:dyDescent="0.25">
      <c r="C153" s="1"/>
    </row>
    <row r="154" spans="1:5" x14ac:dyDescent="0.25">
      <c r="C154" s="1"/>
    </row>
    <row r="155" spans="1:5" x14ac:dyDescent="0.25">
      <c r="C155" s="1"/>
    </row>
    <row r="156" spans="1:5" x14ac:dyDescent="0.25">
      <c r="C156" s="1"/>
    </row>
    <row r="157" spans="1:5" x14ac:dyDescent="0.25">
      <c r="C157" s="1"/>
    </row>
    <row r="158" spans="1:5" x14ac:dyDescent="0.25">
      <c r="C158" s="1"/>
    </row>
    <row r="159" spans="1:5" x14ac:dyDescent="0.25">
      <c r="C159" s="1"/>
    </row>
    <row r="160" spans="1:5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7E331-F797-4999-9BAD-DCB9B262F9CE}">
  <sheetPr codeName="Sheet15"/>
  <dimension ref="A1:E1001"/>
  <sheetViews>
    <sheetView topLeftCell="A109" workbookViewId="0">
      <selection activeCell="E139" sqref="E139"/>
    </sheetView>
  </sheetViews>
  <sheetFormatPr defaultRowHeight="15" x14ac:dyDescent="0.25"/>
  <cols>
    <col min="1" max="1" width="8.42578125" bestFit="1" customWidth="1"/>
    <col min="2" max="2" width="11.28515625" bestFit="1" customWidth="1"/>
    <col min="3" max="3" width="10.7109375" bestFit="1" customWidth="1"/>
    <col min="4" max="4" width="13.5703125" bestFit="1" customWidth="1"/>
    <col min="5" max="5" width="12.5703125" bestFit="1" customWidth="1"/>
    <col min="6" max="10" width="9.140625" customWidth="1"/>
  </cols>
  <sheetData>
    <row r="1" spans="1:5" x14ac:dyDescent="0.25">
      <c r="A1" t="s">
        <v>134</v>
      </c>
      <c r="B1" t="s">
        <v>141</v>
      </c>
      <c r="C1" t="s">
        <v>142</v>
      </c>
      <c r="D1" t="s">
        <v>152</v>
      </c>
      <c r="E1" t="s">
        <v>144</v>
      </c>
    </row>
    <row r="2" spans="1:5" x14ac:dyDescent="0.25">
      <c r="A2" t="s">
        <v>31</v>
      </c>
      <c r="B2">
        <v>248</v>
      </c>
      <c r="C2" s="1">
        <v>43009</v>
      </c>
      <c r="D2">
        <v>10</v>
      </c>
      <c r="E2">
        <v>379</v>
      </c>
    </row>
    <row r="3" spans="1:5" x14ac:dyDescent="0.25">
      <c r="A3" t="s">
        <v>62</v>
      </c>
      <c r="B3">
        <v>284</v>
      </c>
      <c r="C3" s="1">
        <v>43777</v>
      </c>
      <c r="D3">
        <v>11</v>
      </c>
      <c r="E3">
        <v>328</v>
      </c>
    </row>
    <row r="4" spans="1:5" x14ac:dyDescent="0.25">
      <c r="A4" t="s">
        <v>118</v>
      </c>
      <c r="B4">
        <v>167</v>
      </c>
      <c r="C4" s="1">
        <v>43796</v>
      </c>
      <c r="D4">
        <v>11</v>
      </c>
      <c r="E4">
        <v>485</v>
      </c>
    </row>
    <row r="5" spans="1:5" x14ac:dyDescent="0.25">
      <c r="A5" t="s">
        <v>33</v>
      </c>
      <c r="B5">
        <v>437</v>
      </c>
      <c r="C5" s="1">
        <v>42895</v>
      </c>
      <c r="D5">
        <v>6</v>
      </c>
      <c r="E5">
        <v>214</v>
      </c>
    </row>
    <row r="6" spans="1:5" x14ac:dyDescent="0.25">
      <c r="A6" t="s">
        <v>92</v>
      </c>
      <c r="B6">
        <v>184</v>
      </c>
      <c r="C6" s="1">
        <v>43222</v>
      </c>
      <c r="D6">
        <v>5</v>
      </c>
      <c r="E6">
        <v>168</v>
      </c>
    </row>
    <row r="7" spans="1:5" x14ac:dyDescent="0.25">
      <c r="A7" t="s">
        <v>116</v>
      </c>
      <c r="B7">
        <v>369</v>
      </c>
      <c r="C7" s="1">
        <v>43858</v>
      </c>
      <c r="D7">
        <v>1</v>
      </c>
      <c r="E7">
        <v>453</v>
      </c>
    </row>
    <row r="8" spans="1:5" x14ac:dyDescent="0.25">
      <c r="A8" t="s">
        <v>117</v>
      </c>
      <c r="B8">
        <v>320</v>
      </c>
      <c r="C8" s="1">
        <v>44109</v>
      </c>
      <c r="D8">
        <v>10</v>
      </c>
      <c r="E8">
        <v>380</v>
      </c>
    </row>
    <row r="9" spans="1:5" x14ac:dyDescent="0.25">
      <c r="A9" t="s">
        <v>103</v>
      </c>
      <c r="B9">
        <v>654</v>
      </c>
      <c r="C9" s="1">
        <v>42719</v>
      </c>
      <c r="D9">
        <v>12</v>
      </c>
      <c r="E9">
        <v>17</v>
      </c>
    </row>
    <row r="10" spans="1:5" x14ac:dyDescent="0.25">
      <c r="A10" t="s">
        <v>97</v>
      </c>
      <c r="B10">
        <v>374</v>
      </c>
      <c r="C10" s="1">
        <v>44438</v>
      </c>
      <c r="D10">
        <v>8</v>
      </c>
      <c r="E10">
        <v>23</v>
      </c>
    </row>
    <row r="11" spans="1:5" x14ac:dyDescent="0.25">
      <c r="A11" t="s">
        <v>41</v>
      </c>
      <c r="B11">
        <v>438</v>
      </c>
      <c r="C11" s="1">
        <v>43641</v>
      </c>
      <c r="D11">
        <v>6</v>
      </c>
      <c r="E11">
        <v>410</v>
      </c>
    </row>
    <row r="12" spans="1:5" x14ac:dyDescent="0.25">
      <c r="A12" t="s">
        <v>73</v>
      </c>
      <c r="B12">
        <v>1344</v>
      </c>
      <c r="C12" s="1">
        <v>43909</v>
      </c>
      <c r="D12">
        <v>3</v>
      </c>
      <c r="E12">
        <v>437</v>
      </c>
    </row>
    <row r="13" spans="1:5" x14ac:dyDescent="0.25">
      <c r="A13" t="s">
        <v>113</v>
      </c>
      <c r="B13">
        <v>730</v>
      </c>
      <c r="C13" s="1">
        <v>44411</v>
      </c>
      <c r="D13">
        <v>8</v>
      </c>
      <c r="E13">
        <v>507</v>
      </c>
    </row>
    <row r="14" spans="1:5" x14ac:dyDescent="0.25">
      <c r="A14" t="s">
        <v>64</v>
      </c>
      <c r="B14">
        <v>452</v>
      </c>
      <c r="C14" s="1">
        <v>43757</v>
      </c>
      <c r="D14">
        <v>10</v>
      </c>
      <c r="E14">
        <v>132</v>
      </c>
    </row>
    <row r="15" spans="1:5" x14ac:dyDescent="0.25">
      <c r="A15" t="s">
        <v>91</v>
      </c>
      <c r="B15">
        <v>544</v>
      </c>
      <c r="C15" s="1">
        <v>44349</v>
      </c>
      <c r="D15">
        <v>6</v>
      </c>
      <c r="E15">
        <v>4</v>
      </c>
    </row>
    <row r="16" spans="1:5" x14ac:dyDescent="0.25">
      <c r="A16" t="s">
        <v>81</v>
      </c>
      <c r="B16">
        <v>620</v>
      </c>
      <c r="C16" s="1">
        <v>43985</v>
      </c>
      <c r="D16">
        <v>6</v>
      </c>
      <c r="E16">
        <v>480</v>
      </c>
    </row>
    <row r="17" spans="1:5" x14ac:dyDescent="0.25">
      <c r="A17" t="s">
        <v>82</v>
      </c>
      <c r="B17">
        <v>713</v>
      </c>
      <c r="C17" s="1">
        <v>43977</v>
      </c>
      <c r="D17">
        <v>5</v>
      </c>
      <c r="E17">
        <v>306</v>
      </c>
    </row>
    <row r="18" spans="1:5" x14ac:dyDescent="0.25">
      <c r="A18" t="s">
        <v>44</v>
      </c>
      <c r="B18">
        <v>1870</v>
      </c>
      <c r="C18" s="1">
        <v>43155</v>
      </c>
      <c r="D18">
        <v>2</v>
      </c>
      <c r="E18">
        <v>547</v>
      </c>
    </row>
    <row r="19" spans="1:5" x14ac:dyDescent="0.25">
      <c r="A19" t="s">
        <v>47</v>
      </c>
      <c r="B19">
        <v>526</v>
      </c>
      <c r="C19" s="1">
        <v>43291</v>
      </c>
      <c r="D19">
        <v>7</v>
      </c>
      <c r="E19">
        <v>382</v>
      </c>
    </row>
    <row r="20" spans="1:5" x14ac:dyDescent="0.25">
      <c r="A20" t="s">
        <v>105</v>
      </c>
      <c r="B20">
        <v>274</v>
      </c>
      <c r="C20" s="1">
        <v>44444</v>
      </c>
      <c r="D20">
        <v>9</v>
      </c>
      <c r="E20">
        <v>434</v>
      </c>
    </row>
    <row r="21" spans="1:5" x14ac:dyDescent="0.25">
      <c r="A21" t="s">
        <v>72</v>
      </c>
      <c r="B21">
        <v>292</v>
      </c>
      <c r="C21" s="1">
        <v>43984</v>
      </c>
      <c r="D21">
        <v>6</v>
      </c>
      <c r="E21">
        <v>480</v>
      </c>
    </row>
    <row r="22" spans="1:5" x14ac:dyDescent="0.25">
      <c r="A22" t="s">
        <v>53</v>
      </c>
      <c r="B22">
        <v>1955</v>
      </c>
      <c r="C22" s="1">
        <v>44306</v>
      </c>
      <c r="D22">
        <v>4</v>
      </c>
      <c r="E22">
        <v>383</v>
      </c>
    </row>
    <row r="23" spans="1:5" x14ac:dyDescent="0.25">
      <c r="A23" t="s">
        <v>97</v>
      </c>
      <c r="B23">
        <v>1539</v>
      </c>
      <c r="C23" s="1">
        <v>43197</v>
      </c>
      <c r="D23">
        <v>4</v>
      </c>
      <c r="E23">
        <v>52</v>
      </c>
    </row>
    <row r="24" spans="1:5" x14ac:dyDescent="0.25">
      <c r="A24" t="s">
        <v>61</v>
      </c>
      <c r="B24">
        <v>370</v>
      </c>
      <c r="C24" s="1">
        <v>43665</v>
      </c>
      <c r="D24">
        <v>7</v>
      </c>
      <c r="E24">
        <v>283</v>
      </c>
    </row>
    <row r="25" spans="1:5" x14ac:dyDescent="0.25">
      <c r="A25" t="s">
        <v>31</v>
      </c>
      <c r="B25">
        <v>623</v>
      </c>
      <c r="C25" s="1">
        <v>43256</v>
      </c>
      <c r="D25">
        <v>6</v>
      </c>
      <c r="E25">
        <v>567</v>
      </c>
    </row>
    <row r="26" spans="1:5" x14ac:dyDescent="0.25">
      <c r="A26" t="s">
        <v>70</v>
      </c>
      <c r="B26">
        <v>366</v>
      </c>
      <c r="C26" s="1">
        <v>44347</v>
      </c>
      <c r="D26">
        <v>5</v>
      </c>
      <c r="E26">
        <v>382</v>
      </c>
    </row>
    <row r="27" spans="1:5" x14ac:dyDescent="0.25">
      <c r="A27" t="s">
        <v>103</v>
      </c>
      <c r="B27">
        <v>532</v>
      </c>
      <c r="C27" s="1">
        <v>43407</v>
      </c>
      <c r="D27">
        <v>11</v>
      </c>
      <c r="E27">
        <v>572</v>
      </c>
    </row>
    <row r="28" spans="1:5" x14ac:dyDescent="0.25">
      <c r="A28" t="s">
        <v>70</v>
      </c>
      <c r="B28">
        <v>1916</v>
      </c>
      <c r="C28" s="1">
        <v>44305</v>
      </c>
      <c r="D28">
        <v>4</v>
      </c>
      <c r="E28">
        <v>576</v>
      </c>
    </row>
    <row r="29" spans="1:5" x14ac:dyDescent="0.25">
      <c r="A29" t="s">
        <v>81</v>
      </c>
      <c r="B29">
        <v>443</v>
      </c>
      <c r="C29" s="1">
        <v>43955</v>
      </c>
      <c r="D29">
        <v>5</v>
      </c>
      <c r="E29">
        <v>36</v>
      </c>
    </row>
    <row r="30" spans="1:5" x14ac:dyDescent="0.25">
      <c r="A30" t="s">
        <v>74</v>
      </c>
      <c r="B30">
        <v>746</v>
      </c>
      <c r="C30" s="1">
        <v>43015</v>
      </c>
      <c r="D30">
        <v>10</v>
      </c>
      <c r="E30">
        <v>195</v>
      </c>
    </row>
    <row r="31" spans="1:5" x14ac:dyDescent="0.25">
      <c r="A31" t="s">
        <v>72</v>
      </c>
      <c r="B31">
        <v>626</v>
      </c>
      <c r="C31" s="1">
        <v>43830</v>
      </c>
      <c r="D31">
        <v>12</v>
      </c>
      <c r="E31">
        <v>158</v>
      </c>
    </row>
    <row r="32" spans="1:5" x14ac:dyDescent="0.25">
      <c r="A32" t="s">
        <v>31</v>
      </c>
      <c r="B32">
        <v>242</v>
      </c>
      <c r="C32" s="1">
        <v>43749</v>
      </c>
      <c r="D32">
        <v>10</v>
      </c>
      <c r="E32">
        <v>234</v>
      </c>
    </row>
    <row r="33" spans="1:5" x14ac:dyDescent="0.25">
      <c r="A33" t="s">
        <v>102</v>
      </c>
      <c r="B33">
        <v>446</v>
      </c>
      <c r="C33" s="1">
        <v>44136</v>
      </c>
      <c r="D33">
        <v>11</v>
      </c>
      <c r="E33">
        <v>32</v>
      </c>
    </row>
    <row r="34" spans="1:5" x14ac:dyDescent="0.25">
      <c r="A34" t="s">
        <v>81</v>
      </c>
      <c r="B34">
        <v>766</v>
      </c>
      <c r="C34" s="1">
        <v>44211</v>
      </c>
      <c r="D34">
        <v>1</v>
      </c>
      <c r="E34">
        <v>174</v>
      </c>
    </row>
    <row r="35" spans="1:5" x14ac:dyDescent="0.25">
      <c r="A35" t="s">
        <v>40</v>
      </c>
      <c r="B35">
        <v>455</v>
      </c>
      <c r="C35" s="1">
        <v>43391</v>
      </c>
      <c r="D35">
        <v>10</v>
      </c>
      <c r="E35">
        <v>159</v>
      </c>
    </row>
    <row r="36" spans="1:5" x14ac:dyDescent="0.25">
      <c r="A36" t="s">
        <v>52</v>
      </c>
      <c r="B36">
        <v>175</v>
      </c>
      <c r="C36" s="1">
        <v>44083</v>
      </c>
      <c r="D36">
        <v>9</v>
      </c>
      <c r="E36">
        <v>38</v>
      </c>
    </row>
    <row r="37" spans="1:5" x14ac:dyDescent="0.25">
      <c r="A37" t="s">
        <v>113</v>
      </c>
      <c r="B37">
        <v>681</v>
      </c>
      <c r="C37" s="1">
        <v>44206</v>
      </c>
      <c r="D37">
        <v>1</v>
      </c>
      <c r="E37">
        <v>417</v>
      </c>
    </row>
    <row r="38" spans="1:5" x14ac:dyDescent="0.25">
      <c r="A38" t="s">
        <v>61</v>
      </c>
      <c r="B38">
        <v>643</v>
      </c>
      <c r="C38" s="1">
        <v>43734</v>
      </c>
      <c r="D38">
        <v>9</v>
      </c>
      <c r="E38">
        <v>558</v>
      </c>
    </row>
    <row r="39" spans="1:5" x14ac:dyDescent="0.25">
      <c r="A39" t="s">
        <v>33</v>
      </c>
      <c r="B39">
        <v>404</v>
      </c>
      <c r="C39" s="1">
        <v>43851</v>
      </c>
      <c r="D39">
        <v>1</v>
      </c>
      <c r="E39">
        <v>238</v>
      </c>
    </row>
    <row r="40" spans="1:5" x14ac:dyDescent="0.25">
      <c r="A40" t="s">
        <v>74</v>
      </c>
      <c r="B40">
        <v>1735</v>
      </c>
      <c r="C40" s="1">
        <v>44297</v>
      </c>
      <c r="D40">
        <v>4</v>
      </c>
      <c r="E40">
        <v>129</v>
      </c>
    </row>
    <row r="41" spans="1:5" x14ac:dyDescent="0.25">
      <c r="A41" t="s">
        <v>60</v>
      </c>
      <c r="B41">
        <v>366</v>
      </c>
      <c r="C41" s="1">
        <v>43586</v>
      </c>
      <c r="D41">
        <v>5</v>
      </c>
      <c r="E41">
        <v>280</v>
      </c>
    </row>
    <row r="42" spans="1:5" x14ac:dyDescent="0.25">
      <c r="A42" t="s">
        <v>89</v>
      </c>
      <c r="B42">
        <v>365</v>
      </c>
      <c r="C42" s="1">
        <v>44077</v>
      </c>
      <c r="D42">
        <v>9</v>
      </c>
      <c r="E42">
        <v>301</v>
      </c>
    </row>
    <row r="43" spans="1:5" x14ac:dyDescent="0.25">
      <c r="A43" t="s">
        <v>63</v>
      </c>
      <c r="B43">
        <v>533</v>
      </c>
      <c r="C43" s="1">
        <v>43301</v>
      </c>
      <c r="D43">
        <v>7</v>
      </c>
      <c r="E43">
        <v>237</v>
      </c>
    </row>
    <row r="44" spans="1:5" x14ac:dyDescent="0.25">
      <c r="A44" t="s">
        <v>60</v>
      </c>
      <c r="B44">
        <v>591</v>
      </c>
      <c r="C44" s="1">
        <v>43755</v>
      </c>
      <c r="D44">
        <v>10</v>
      </c>
      <c r="E44">
        <v>561</v>
      </c>
    </row>
    <row r="45" spans="1:5" x14ac:dyDescent="0.25">
      <c r="A45" t="s">
        <v>70</v>
      </c>
      <c r="B45">
        <v>299</v>
      </c>
      <c r="C45" s="1">
        <v>44181</v>
      </c>
      <c r="D45">
        <v>12</v>
      </c>
      <c r="E45">
        <v>427</v>
      </c>
    </row>
    <row r="46" spans="1:5" x14ac:dyDescent="0.25">
      <c r="A46" t="s">
        <v>114</v>
      </c>
      <c r="B46">
        <v>1422</v>
      </c>
      <c r="C46" s="1">
        <v>44244</v>
      </c>
      <c r="D46">
        <v>2</v>
      </c>
      <c r="E46">
        <v>216</v>
      </c>
    </row>
    <row r="47" spans="1:5" x14ac:dyDescent="0.25">
      <c r="A47" t="s">
        <v>116</v>
      </c>
      <c r="B47">
        <v>1247</v>
      </c>
      <c r="C47" s="1">
        <v>43919</v>
      </c>
      <c r="D47">
        <v>3</v>
      </c>
      <c r="E47">
        <v>511</v>
      </c>
    </row>
    <row r="48" spans="1:5" x14ac:dyDescent="0.25">
      <c r="A48" t="s">
        <v>61</v>
      </c>
      <c r="B48">
        <v>774</v>
      </c>
      <c r="C48" s="1">
        <v>44036</v>
      </c>
      <c r="D48">
        <v>7</v>
      </c>
      <c r="E48">
        <v>400</v>
      </c>
    </row>
    <row r="49" spans="1:5" x14ac:dyDescent="0.25">
      <c r="A49" t="s">
        <v>72</v>
      </c>
      <c r="B49">
        <v>458</v>
      </c>
      <c r="C49" s="1">
        <v>44163</v>
      </c>
      <c r="D49">
        <v>11</v>
      </c>
      <c r="E49">
        <v>7</v>
      </c>
    </row>
    <row r="50" spans="1:5" x14ac:dyDescent="0.25">
      <c r="A50" t="s">
        <v>114</v>
      </c>
      <c r="B50">
        <v>394</v>
      </c>
      <c r="C50" s="1">
        <v>44105</v>
      </c>
      <c r="D50">
        <v>10</v>
      </c>
      <c r="E50">
        <v>2</v>
      </c>
    </row>
    <row r="51" spans="1:5" x14ac:dyDescent="0.25">
      <c r="A51" t="s">
        <v>83</v>
      </c>
      <c r="B51">
        <v>1540</v>
      </c>
      <c r="C51" s="1">
        <v>44272</v>
      </c>
      <c r="D51">
        <v>3</v>
      </c>
      <c r="E51">
        <v>525</v>
      </c>
    </row>
    <row r="52" spans="1:5" x14ac:dyDescent="0.25">
      <c r="A52" t="s">
        <v>93</v>
      </c>
      <c r="B52">
        <v>321</v>
      </c>
      <c r="C52" s="1">
        <v>43677</v>
      </c>
      <c r="D52">
        <v>7</v>
      </c>
      <c r="E52">
        <v>388</v>
      </c>
    </row>
    <row r="53" spans="1:5" x14ac:dyDescent="0.25">
      <c r="A53" t="s">
        <v>95</v>
      </c>
      <c r="B53">
        <v>240</v>
      </c>
      <c r="C53" s="1">
        <v>44067</v>
      </c>
      <c r="D53">
        <v>8</v>
      </c>
      <c r="E53">
        <v>114</v>
      </c>
    </row>
    <row r="54" spans="1:5" x14ac:dyDescent="0.25">
      <c r="A54" t="s">
        <v>33</v>
      </c>
      <c r="B54">
        <v>394</v>
      </c>
      <c r="C54" s="1">
        <v>43730</v>
      </c>
      <c r="D54">
        <v>9</v>
      </c>
      <c r="E54">
        <v>562</v>
      </c>
    </row>
    <row r="55" spans="1:5" x14ac:dyDescent="0.25">
      <c r="A55" t="s">
        <v>40</v>
      </c>
      <c r="B55">
        <v>489</v>
      </c>
      <c r="C55" s="1">
        <v>43856</v>
      </c>
      <c r="D55">
        <v>1</v>
      </c>
      <c r="E55">
        <v>305</v>
      </c>
    </row>
    <row r="56" spans="1:5" x14ac:dyDescent="0.25">
      <c r="A56" t="s">
        <v>80</v>
      </c>
      <c r="B56">
        <v>142</v>
      </c>
      <c r="C56" s="1">
        <v>44059</v>
      </c>
      <c r="D56">
        <v>8</v>
      </c>
      <c r="E56">
        <v>131</v>
      </c>
    </row>
    <row r="57" spans="1:5" x14ac:dyDescent="0.25">
      <c r="A57" t="s">
        <v>63</v>
      </c>
      <c r="B57">
        <v>182</v>
      </c>
      <c r="C57" s="1">
        <v>43421</v>
      </c>
      <c r="D57">
        <v>11</v>
      </c>
      <c r="E57">
        <v>539</v>
      </c>
    </row>
    <row r="58" spans="1:5" x14ac:dyDescent="0.25">
      <c r="A58" t="s">
        <v>32</v>
      </c>
      <c r="B58">
        <v>314</v>
      </c>
      <c r="C58" s="1">
        <v>43958</v>
      </c>
      <c r="D58">
        <v>5</v>
      </c>
      <c r="E58">
        <v>218</v>
      </c>
    </row>
    <row r="59" spans="1:5" x14ac:dyDescent="0.25">
      <c r="A59" t="s">
        <v>95</v>
      </c>
      <c r="B59">
        <v>710</v>
      </c>
      <c r="C59" s="1">
        <v>44157</v>
      </c>
      <c r="D59">
        <v>11</v>
      </c>
      <c r="E59">
        <v>228</v>
      </c>
    </row>
    <row r="60" spans="1:5" x14ac:dyDescent="0.25">
      <c r="A60" t="s">
        <v>117</v>
      </c>
      <c r="B60">
        <v>113</v>
      </c>
      <c r="C60" s="1">
        <v>42967</v>
      </c>
      <c r="D60">
        <v>8</v>
      </c>
      <c r="E60">
        <v>113</v>
      </c>
    </row>
    <row r="61" spans="1:5" x14ac:dyDescent="0.25">
      <c r="A61" t="s">
        <v>114</v>
      </c>
      <c r="B61">
        <v>119</v>
      </c>
      <c r="C61" s="1">
        <v>43101</v>
      </c>
      <c r="D61">
        <v>1</v>
      </c>
      <c r="E61">
        <v>123</v>
      </c>
    </row>
    <row r="62" spans="1:5" x14ac:dyDescent="0.25">
      <c r="A62" t="s">
        <v>103</v>
      </c>
      <c r="B62">
        <v>400</v>
      </c>
      <c r="C62" s="1">
        <v>42496</v>
      </c>
      <c r="D62">
        <v>5</v>
      </c>
      <c r="E62">
        <v>133</v>
      </c>
    </row>
    <row r="63" spans="1:5" x14ac:dyDescent="0.25">
      <c r="A63" t="s">
        <v>35</v>
      </c>
      <c r="B63">
        <v>156</v>
      </c>
      <c r="C63" s="1">
        <v>44133</v>
      </c>
      <c r="D63">
        <v>10</v>
      </c>
      <c r="E63">
        <v>450</v>
      </c>
    </row>
    <row r="64" spans="1:5" x14ac:dyDescent="0.25">
      <c r="A64" t="s">
        <v>116</v>
      </c>
      <c r="B64">
        <v>134</v>
      </c>
      <c r="C64" s="1">
        <v>43307</v>
      </c>
      <c r="D64">
        <v>7</v>
      </c>
      <c r="E64">
        <v>120</v>
      </c>
    </row>
    <row r="65" spans="1:5" x14ac:dyDescent="0.25">
      <c r="A65" t="s">
        <v>46</v>
      </c>
      <c r="B65">
        <v>773</v>
      </c>
      <c r="C65" s="1">
        <v>43616</v>
      </c>
      <c r="D65">
        <v>5</v>
      </c>
      <c r="E65">
        <v>437</v>
      </c>
    </row>
    <row r="66" spans="1:5" x14ac:dyDescent="0.25">
      <c r="A66" t="s">
        <v>116</v>
      </c>
      <c r="B66">
        <v>441</v>
      </c>
      <c r="C66" s="1">
        <v>44144</v>
      </c>
      <c r="D66">
        <v>11</v>
      </c>
      <c r="E66">
        <v>222</v>
      </c>
    </row>
    <row r="67" spans="1:5" x14ac:dyDescent="0.25">
      <c r="A67" t="s">
        <v>90</v>
      </c>
      <c r="B67">
        <v>233</v>
      </c>
      <c r="C67" s="1">
        <v>44095</v>
      </c>
      <c r="D67">
        <v>9</v>
      </c>
      <c r="E67">
        <v>367</v>
      </c>
    </row>
    <row r="68" spans="1:5" x14ac:dyDescent="0.25">
      <c r="A68" t="s">
        <v>46</v>
      </c>
      <c r="B68">
        <v>410</v>
      </c>
      <c r="C68" s="1">
        <v>44402</v>
      </c>
      <c r="D68">
        <v>7</v>
      </c>
      <c r="E68">
        <v>253</v>
      </c>
    </row>
    <row r="69" spans="1:5" x14ac:dyDescent="0.25">
      <c r="A69" t="s">
        <v>44</v>
      </c>
      <c r="B69">
        <v>780</v>
      </c>
      <c r="C69" s="1">
        <v>44097</v>
      </c>
      <c r="D69">
        <v>9</v>
      </c>
      <c r="E69">
        <v>188</v>
      </c>
    </row>
    <row r="70" spans="1:5" x14ac:dyDescent="0.25">
      <c r="A70" t="s">
        <v>33</v>
      </c>
      <c r="B70">
        <v>487</v>
      </c>
      <c r="C70" s="1">
        <v>43680</v>
      </c>
      <c r="D70">
        <v>8</v>
      </c>
      <c r="E70">
        <v>545</v>
      </c>
    </row>
    <row r="71" spans="1:5" x14ac:dyDescent="0.25">
      <c r="A71" t="s">
        <v>114</v>
      </c>
      <c r="B71">
        <v>504</v>
      </c>
      <c r="C71" s="1">
        <v>43350</v>
      </c>
      <c r="D71">
        <v>9</v>
      </c>
      <c r="E71">
        <v>560</v>
      </c>
    </row>
    <row r="72" spans="1:5" x14ac:dyDescent="0.25">
      <c r="A72" t="s">
        <v>31</v>
      </c>
      <c r="B72">
        <v>1770</v>
      </c>
      <c r="C72" s="1">
        <v>44257</v>
      </c>
      <c r="D72">
        <v>3</v>
      </c>
      <c r="E72">
        <v>574</v>
      </c>
    </row>
    <row r="73" spans="1:5" x14ac:dyDescent="0.25">
      <c r="A73" t="s">
        <v>60</v>
      </c>
      <c r="B73">
        <v>657</v>
      </c>
      <c r="C73" s="1">
        <v>43788</v>
      </c>
      <c r="D73">
        <v>11</v>
      </c>
      <c r="E73">
        <v>363</v>
      </c>
    </row>
    <row r="74" spans="1:5" x14ac:dyDescent="0.25">
      <c r="A74" t="s">
        <v>41</v>
      </c>
      <c r="B74">
        <v>233</v>
      </c>
      <c r="C74" s="1">
        <v>43460</v>
      </c>
      <c r="D74">
        <v>12</v>
      </c>
      <c r="E74">
        <v>25</v>
      </c>
    </row>
    <row r="75" spans="1:5" x14ac:dyDescent="0.25">
      <c r="A75" t="s">
        <v>62</v>
      </c>
      <c r="B75">
        <v>120</v>
      </c>
      <c r="C75" s="1">
        <v>44209</v>
      </c>
      <c r="D75">
        <v>1</v>
      </c>
      <c r="E75">
        <v>570</v>
      </c>
    </row>
    <row r="76" spans="1:5" x14ac:dyDescent="0.25">
      <c r="A76" t="s">
        <v>80</v>
      </c>
      <c r="B76">
        <v>762</v>
      </c>
      <c r="C76" s="1">
        <v>44104</v>
      </c>
      <c r="D76">
        <v>9</v>
      </c>
      <c r="E76">
        <v>285</v>
      </c>
    </row>
    <row r="77" spans="1:5" x14ac:dyDescent="0.25">
      <c r="A77" t="s">
        <v>41</v>
      </c>
      <c r="B77">
        <v>1121</v>
      </c>
      <c r="C77" s="1">
        <v>44270</v>
      </c>
      <c r="D77">
        <v>3</v>
      </c>
      <c r="E77">
        <v>245</v>
      </c>
    </row>
    <row r="78" spans="1:5" x14ac:dyDescent="0.25">
      <c r="A78" t="s">
        <v>62</v>
      </c>
      <c r="B78">
        <v>158</v>
      </c>
      <c r="C78" s="1">
        <v>44077</v>
      </c>
      <c r="D78">
        <v>9</v>
      </c>
      <c r="E78">
        <v>470</v>
      </c>
    </row>
    <row r="79" spans="1:5" x14ac:dyDescent="0.25">
      <c r="A79" t="s">
        <v>105</v>
      </c>
      <c r="B79">
        <v>437</v>
      </c>
      <c r="C79" s="1">
        <v>43768</v>
      </c>
      <c r="D79">
        <v>10</v>
      </c>
      <c r="E79">
        <v>153</v>
      </c>
    </row>
    <row r="80" spans="1:5" x14ac:dyDescent="0.25">
      <c r="A80" t="s">
        <v>102</v>
      </c>
      <c r="B80">
        <v>444</v>
      </c>
      <c r="C80" s="1">
        <v>44159</v>
      </c>
      <c r="D80">
        <v>11</v>
      </c>
      <c r="E80">
        <v>216</v>
      </c>
    </row>
    <row r="81" spans="1:5" x14ac:dyDescent="0.25">
      <c r="A81" t="s">
        <v>102</v>
      </c>
      <c r="B81">
        <v>154</v>
      </c>
      <c r="C81" s="1">
        <v>43846</v>
      </c>
      <c r="D81">
        <v>1</v>
      </c>
      <c r="E81">
        <v>334</v>
      </c>
    </row>
    <row r="82" spans="1:5" x14ac:dyDescent="0.25">
      <c r="A82" t="s">
        <v>118</v>
      </c>
      <c r="B82">
        <v>1349</v>
      </c>
      <c r="C82" s="1">
        <v>44246</v>
      </c>
      <c r="D82">
        <v>2</v>
      </c>
      <c r="E82">
        <v>600</v>
      </c>
    </row>
    <row r="83" spans="1:5" x14ac:dyDescent="0.25">
      <c r="A83" t="s">
        <v>74</v>
      </c>
      <c r="B83">
        <v>478</v>
      </c>
      <c r="C83" s="1">
        <v>43621</v>
      </c>
      <c r="D83">
        <v>6</v>
      </c>
      <c r="E83">
        <v>58</v>
      </c>
    </row>
    <row r="84" spans="1:5" x14ac:dyDescent="0.25">
      <c r="A84" t="s">
        <v>60</v>
      </c>
      <c r="B84">
        <v>956</v>
      </c>
      <c r="C84" s="1">
        <v>44304</v>
      </c>
      <c r="D84">
        <v>4</v>
      </c>
      <c r="E84">
        <v>114</v>
      </c>
    </row>
    <row r="85" spans="1:5" x14ac:dyDescent="0.25">
      <c r="A85" t="s">
        <v>80</v>
      </c>
      <c r="B85">
        <v>216</v>
      </c>
      <c r="C85" s="1">
        <v>44357</v>
      </c>
      <c r="D85">
        <v>6</v>
      </c>
      <c r="E85">
        <v>374</v>
      </c>
    </row>
    <row r="86" spans="1:5" x14ac:dyDescent="0.25">
      <c r="A86" t="s">
        <v>95</v>
      </c>
      <c r="B86">
        <v>743</v>
      </c>
      <c r="C86" s="1">
        <v>44037</v>
      </c>
      <c r="D86">
        <v>7</v>
      </c>
      <c r="E86">
        <v>351</v>
      </c>
    </row>
    <row r="87" spans="1:5" x14ac:dyDescent="0.25">
      <c r="A87" t="s">
        <v>89</v>
      </c>
      <c r="B87">
        <v>249</v>
      </c>
      <c r="C87" s="1">
        <v>43770</v>
      </c>
      <c r="D87">
        <v>11</v>
      </c>
      <c r="E87">
        <v>241</v>
      </c>
    </row>
    <row r="88" spans="1:5" x14ac:dyDescent="0.25">
      <c r="A88" t="s">
        <v>95</v>
      </c>
      <c r="B88">
        <v>454</v>
      </c>
      <c r="C88" s="1">
        <v>44319</v>
      </c>
      <c r="D88">
        <v>5</v>
      </c>
      <c r="E88">
        <v>515</v>
      </c>
    </row>
    <row r="89" spans="1:5" x14ac:dyDescent="0.25">
      <c r="A89" t="s">
        <v>91</v>
      </c>
      <c r="B89">
        <v>789</v>
      </c>
      <c r="C89" s="1">
        <v>43977</v>
      </c>
      <c r="D89">
        <v>5</v>
      </c>
      <c r="E89">
        <v>182</v>
      </c>
    </row>
    <row r="90" spans="1:5" x14ac:dyDescent="0.25">
      <c r="A90" t="s">
        <v>35</v>
      </c>
      <c r="B90">
        <v>275</v>
      </c>
      <c r="C90" s="1">
        <v>42639</v>
      </c>
      <c r="D90">
        <v>9</v>
      </c>
      <c r="E90">
        <v>210</v>
      </c>
    </row>
    <row r="91" spans="1:5" x14ac:dyDescent="0.25">
      <c r="A91" t="s">
        <v>90</v>
      </c>
      <c r="B91">
        <v>784</v>
      </c>
      <c r="C91" s="1">
        <v>44429</v>
      </c>
      <c r="D91">
        <v>8</v>
      </c>
      <c r="E91">
        <v>238</v>
      </c>
    </row>
    <row r="92" spans="1:5" x14ac:dyDescent="0.25">
      <c r="A92" t="s">
        <v>51</v>
      </c>
      <c r="B92">
        <v>732</v>
      </c>
      <c r="C92" s="1">
        <v>44409</v>
      </c>
      <c r="D92">
        <v>8</v>
      </c>
      <c r="E92">
        <v>423</v>
      </c>
    </row>
    <row r="93" spans="1:5" x14ac:dyDescent="0.25">
      <c r="A93" t="s">
        <v>95</v>
      </c>
      <c r="B93">
        <v>1379</v>
      </c>
      <c r="C93" s="1">
        <v>44232</v>
      </c>
      <c r="D93">
        <v>2</v>
      </c>
      <c r="E93">
        <v>483</v>
      </c>
    </row>
    <row r="94" spans="1:5" x14ac:dyDescent="0.25">
      <c r="A94" t="s">
        <v>115</v>
      </c>
      <c r="B94">
        <v>296</v>
      </c>
      <c r="C94" s="1">
        <v>44049</v>
      </c>
      <c r="D94">
        <v>8</v>
      </c>
      <c r="E94">
        <v>341</v>
      </c>
    </row>
    <row r="95" spans="1:5" x14ac:dyDescent="0.25">
      <c r="A95" t="s">
        <v>90</v>
      </c>
      <c r="B95">
        <v>914</v>
      </c>
      <c r="C95" s="1">
        <v>44284</v>
      </c>
      <c r="D95">
        <v>3</v>
      </c>
      <c r="E95">
        <v>595</v>
      </c>
    </row>
    <row r="96" spans="1:5" x14ac:dyDescent="0.25">
      <c r="A96" t="s">
        <v>92</v>
      </c>
      <c r="B96">
        <v>585</v>
      </c>
      <c r="C96" s="1">
        <v>43627</v>
      </c>
      <c r="D96">
        <v>6</v>
      </c>
      <c r="E96">
        <v>551</v>
      </c>
    </row>
    <row r="97" spans="1:5" x14ac:dyDescent="0.25">
      <c r="A97" t="s">
        <v>75</v>
      </c>
      <c r="B97">
        <v>185</v>
      </c>
      <c r="C97" s="1">
        <v>43438</v>
      </c>
      <c r="D97">
        <v>12</v>
      </c>
      <c r="E97">
        <v>372</v>
      </c>
    </row>
    <row r="98" spans="1:5" x14ac:dyDescent="0.25">
      <c r="A98" t="s">
        <v>53</v>
      </c>
      <c r="B98">
        <v>1566</v>
      </c>
      <c r="C98" s="1">
        <v>43911</v>
      </c>
      <c r="D98">
        <v>3</v>
      </c>
      <c r="E98">
        <v>154</v>
      </c>
    </row>
    <row r="99" spans="1:5" x14ac:dyDescent="0.25">
      <c r="A99" t="s">
        <v>44</v>
      </c>
      <c r="B99">
        <v>798</v>
      </c>
      <c r="C99" s="1">
        <v>43125</v>
      </c>
      <c r="D99">
        <v>1</v>
      </c>
      <c r="E99">
        <v>595</v>
      </c>
    </row>
    <row r="100" spans="1:5" x14ac:dyDescent="0.25">
      <c r="A100" t="s">
        <v>93</v>
      </c>
      <c r="B100">
        <v>151</v>
      </c>
      <c r="C100" s="1">
        <v>44017</v>
      </c>
      <c r="D100">
        <v>7</v>
      </c>
      <c r="E100">
        <v>298</v>
      </c>
    </row>
    <row r="101" spans="1:5" x14ac:dyDescent="0.25">
      <c r="A101" t="s">
        <v>113</v>
      </c>
      <c r="B101">
        <v>306</v>
      </c>
      <c r="C101" s="1">
        <v>44424</v>
      </c>
      <c r="D101">
        <v>8</v>
      </c>
      <c r="E101">
        <v>169</v>
      </c>
    </row>
    <row r="102" spans="1:5" x14ac:dyDescent="0.25">
      <c r="A102" t="s">
        <v>115</v>
      </c>
      <c r="B102">
        <v>574</v>
      </c>
      <c r="C102" s="1">
        <v>43442</v>
      </c>
      <c r="D102">
        <v>12</v>
      </c>
      <c r="E102">
        <v>557</v>
      </c>
    </row>
    <row r="103" spans="1:5" x14ac:dyDescent="0.25">
      <c r="A103" t="s">
        <v>72</v>
      </c>
      <c r="B103">
        <v>225</v>
      </c>
      <c r="C103" s="1">
        <v>44342</v>
      </c>
      <c r="D103">
        <v>5</v>
      </c>
      <c r="E103">
        <v>228</v>
      </c>
    </row>
    <row r="104" spans="1:5" x14ac:dyDescent="0.25">
      <c r="A104" t="s">
        <v>89</v>
      </c>
      <c r="B104">
        <v>522</v>
      </c>
      <c r="C104" s="1">
        <v>44206</v>
      </c>
      <c r="D104">
        <v>1</v>
      </c>
      <c r="E104">
        <v>281</v>
      </c>
    </row>
    <row r="105" spans="1:5" x14ac:dyDescent="0.25">
      <c r="A105" t="s">
        <v>80</v>
      </c>
      <c r="B105">
        <v>688</v>
      </c>
      <c r="C105" s="1">
        <v>44012</v>
      </c>
      <c r="D105">
        <v>6</v>
      </c>
      <c r="E105">
        <v>433</v>
      </c>
    </row>
    <row r="106" spans="1:5" x14ac:dyDescent="0.25">
      <c r="A106" t="s">
        <v>118</v>
      </c>
      <c r="B106">
        <v>237</v>
      </c>
      <c r="C106" s="1">
        <v>44366</v>
      </c>
      <c r="D106">
        <v>6</v>
      </c>
      <c r="E106">
        <v>304</v>
      </c>
    </row>
    <row r="107" spans="1:5" x14ac:dyDescent="0.25">
      <c r="A107" t="s">
        <v>82</v>
      </c>
      <c r="B107">
        <v>347</v>
      </c>
      <c r="C107" s="1">
        <v>43484</v>
      </c>
      <c r="D107">
        <v>1</v>
      </c>
      <c r="E107">
        <v>544</v>
      </c>
    </row>
    <row r="108" spans="1:5" x14ac:dyDescent="0.25">
      <c r="A108" t="s">
        <v>72</v>
      </c>
      <c r="B108">
        <v>529</v>
      </c>
      <c r="C108" s="1">
        <v>44138</v>
      </c>
      <c r="D108">
        <v>11</v>
      </c>
      <c r="E108">
        <v>512</v>
      </c>
    </row>
    <row r="109" spans="1:5" x14ac:dyDescent="0.25">
      <c r="A109" t="s">
        <v>91</v>
      </c>
      <c r="B109">
        <v>394</v>
      </c>
      <c r="C109" s="1">
        <v>43813</v>
      </c>
      <c r="D109">
        <v>12</v>
      </c>
      <c r="E109">
        <v>460</v>
      </c>
    </row>
    <row r="110" spans="1:5" x14ac:dyDescent="0.25">
      <c r="A110" t="s">
        <v>75</v>
      </c>
      <c r="B110">
        <v>345</v>
      </c>
      <c r="C110" s="1">
        <v>43778</v>
      </c>
      <c r="D110">
        <v>11</v>
      </c>
      <c r="E110">
        <v>237</v>
      </c>
    </row>
    <row r="111" spans="1:5" x14ac:dyDescent="0.25">
      <c r="A111" t="s">
        <v>116</v>
      </c>
      <c r="B111">
        <v>516</v>
      </c>
      <c r="C111" s="1">
        <v>44108</v>
      </c>
      <c r="D111">
        <v>10</v>
      </c>
      <c r="E111">
        <v>330</v>
      </c>
    </row>
    <row r="112" spans="1:5" x14ac:dyDescent="0.25">
      <c r="A112" t="s">
        <v>51</v>
      </c>
      <c r="B112">
        <v>820</v>
      </c>
      <c r="C112" s="1">
        <v>42810</v>
      </c>
      <c r="D112">
        <v>3</v>
      </c>
      <c r="E112">
        <v>399</v>
      </c>
    </row>
    <row r="113" spans="1:5" x14ac:dyDescent="0.25">
      <c r="A113" t="s">
        <v>118</v>
      </c>
      <c r="B113">
        <v>727</v>
      </c>
      <c r="C113" s="1">
        <v>43536</v>
      </c>
      <c r="D113">
        <v>3</v>
      </c>
      <c r="E113">
        <v>544</v>
      </c>
    </row>
    <row r="114" spans="1:5" x14ac:dyDescent="0.25">
      <c r="A114" t="s">
        <v>63</v>
      </c>
      <c r="B114">
        <v>1601</v>
      </c>
      <c r="C114" s="1">
        <v>44296</v>
      </c>
      <c r="D114">
        <v>4</v>
      </c>
      <c r="E114">
        <v>13</v>
      </c>
    </row>
    <row r="115" spans="1:5" x14ac:dyDescent="0.25">
      <c r="A115" t="s">
        <v>103</v>
      </c>
      <c r="B115">
        <v>799</v>
      </c>
      <c r="C115" s="1">
        <v>43775</v>
      </c>
      <c r="D115">
        <v>11</v>
      </c>
      <c r="E115">
        <v>239</v>
      </c>
    </row>
    <row r="116" spans="1:5" x14ac:dyDescent="0.25">
      <c r="A116" t="s">
        <v>105</v>
      </c>
      <c r="B116">
        <v>740</v>
      </c>
      <c r="C116" s="1">
        <v>43546</v>
      </c>
      <c r="D116">
        <v>3</v>
      </c>
      <c r="E116">
        <v>424</v>
      </c>
    </row>
    <row r="117" spans="1:5" x14ac:dyDescent="0.25">
      <c r="A117" t="s">
        <v>70</v>
      </c>
      <c r="B117">
        <v>786</v>
      </c>
      <c r="C117" s="1">
        <v>44138</v>
      </c>
      <c r="D117">
        <v>11</v>
      </c>
      <c r="E117">
        <v>252</v>
      </c>
    </row>
    <row r="118" spans="1:5" x14ac:dyDescent="0.25">
      <c r="A118" t="s">
        <v>118</v>
      </c>
      <c r="B118">
        <v>539</v>
      </c>
      <c r="C118" s="1">
        <v>43606</v>
      </c>
      <c r="D118">
        <v>5</v>
      </c>
      <c r="E118">
        <v>64</v>
      </c>
    </row>
    <row r="119" spans="1:5" x14ac:dyDescent="0.25">
      <c r="A119" t="s">
        <v>71</v>
      </c>
      <c r="B119">
        <v>846</v>
      </c>
      <c r="C119" s="1">
        <v>43862</v>
      </c>
      <c r="D119">
        <v>2</v>
      </c>
      <c r="E119">
        <v>510</v>
      </c>
    </row>
    <row r="120" spans="1:5" x14ac:dyDescent="0.25">
      <c r="A120" t="s">
        <v>114</v>
      </c>
      <c r="B120">
        <v>505</v>
      </c>
      <c r="C120" s="1">
        <v>43647</v>
      </c>
      <c r="D120">
        <v>7</v>
      </c>
      <c r="E120">
        <v>195</v>
      </c>
    </row>
    <row r="121" spans="1:5" x14ac:dyDescent="0.25">
      <c r="A121" t="s">
        <v>117</v>
      </c>
      <c r="B121">
        <v>299</v>
      </c>
      <c r="C121" s="1">
        <v>44452</v>
      </c>
      <c r="D121">
        <v>9</v>
      </c>
      <c r="E121">
        <v>304</v>
      </c>
    </row>
    <row r="122" spans="1:5" x14ac:dyDescent="0.25">
      <c r="A122" t="s">
        <v>83</v>
      </c>
      <c r="B122">
        <v>444</v>
      </c>
      <c r="C122" s="1">
        <v>43792</v>
      </c>
      <c r="D122">
        <v>11</v>
      </c>
      <c r="E122">
        <v>469</v>
      </c>
    </row>
    <row r="123" spans="1:5" x14ac:dyDescent="0.25">
      <c r="A123" t="s">
        <v>114</v>
      </c>
      <c r="B123">
        <v>695</v>
      </c>
      <c r="C123" s="1">
        <v>42898</v>
      </c>
      <c r="D123">
        <v>6</v>
      </c>
      <c r="E123">
        <v>456</v>
      </c>
    </row>
    <row r="124" spans="1:5" x14ac:dyDescent="0.25">
      <c r="A124" t="s">
        <v>116</v>
      </c>
      <c r="B124">
        <v>540</v>
      </c>
      <c r="C124" s="1">
        <v>42885</v>
      </c>
      <c r="D124">
        <v>5</v>
      </c>
      <c r="E124">
        <v>49</v>
      </c>
    </row>
    <row r="125" spans="1:5" x14ac:dyDescent="0.25">
      <c r="A125" t="s">
        <v>90</v>
      </c>
      <c r="B125">
        <v>1474</v>
      </c>
      <c r="C125" s="1">
        <v>44288</v>
      </c>
      <c r="D125">
        <v>4</v>
      </c>
      <c r="E125">
        <v>334</v>
      </c>
    </row>
    <row r="126" spans="1:5" x14ac:dyDescent="0.25">
      <c r="A126" t="s">
        <v>51</v>
      </c>
      <c r="B126">
        <v>1565</v>
      </c>
      <c r="C126" s="1">
        <v>44303</v>
      </c>
      <c r="D126">
        <v>4</v>
      </c>
      <c r="E126">
        <v>594</v>
      </c>
    </row>
    <row r="127" spans="1:5" x14ac:dyDescent="0.25">
      <c r="A127" t="s">
        <v>32</v>
      </c>
      <c r="B127">
        <v>542</v>
      </c>
      <c r="C127" s="1">
        <v>43974</v>
      </c>
      <c r="D127">
        <v>5</v>
      </c>
      <c r="E127">
        <v>399</v>
      </c>
    </row>
    <row r="128" spans="1:5" x14ac:dyDescent="0.25">
      <c r="A128" t="s">
        <v>83</v>
      </c>
      <c r="B128">
        <v>1150</v>
      </c>
      <c r="C128" s="1">
        <v>43869</v>
      </c>
      <c r="D128">
        <v>2</v>
      </c>
      <c r="E128">
        <v>537</v>
      </c>
    </row>
    <row r="129" spans="1:5" x14ac:dyDescent="0.25">
      <c r="A129" t="s">
        <v>45</v>
      </c>
      <c r="B129">
        <v>432</v>
      </c>
      <c r="C129" s="1">
        <v>43860</v>
      </c>
      <c r="D129">
        <v>1</v>
      </c>
      <c r="E129">
        <v>436</v>
      </c>
    </row>
    <row r="130" spans="1:5" x14ac:dyDescent="0.25">
      <c r="A130" t="s">
        <v>103</v>
      </c>
      <c r="B130">
        <v>1531</v>
      </c>
      <c r="C130" s="1">
        <v>43140</v>
      </c>
      <c r="D130">
        <v>2</v>
      </c>
      <c r="E130">
        <v>257</v>
      </c>
    </row>
    <row r="131" spans="1:5" x14ac:dyDescent="0.25">
      <c r="A131" t="s">
        <v>41</v>
      </c>
      <c r="B131">
        <v>436</v>
      </c>
      <c r="C131" s="1">
        <v>42902</v>
      </c>
      <c r="D131">
        <v>6</v>
      </c>
      <c r="E131">
        <v>273</v>
      </c>
    </row>
    <row r="132" spans="1:5" x14ac:dyDescent="0.25">
      <c r="A132" t="s">
        <v>45</v>
      </c>
      <c r="B132">
        <v>792</v>
      </c>
      <c r="C132" s="1">
        <v>43976</v>
      </c>
      <c r="D132">
        <v>5</v>
      </c>
      <c r="E132">
        <v>317</v>
      </c>
    </row>
    <row r="133" spans="1:5" x14ac:dyDescent="0.25">
      <c r="A133" t="s">
        <v>95</v>
      </c>
      <c r="B133">
        <v>109</v>
      </c>
      <c r="C133" s="1">
        <v>44337</v>
      </c>
      <c r="D133">
        <v>5</v>
      </c>
      <c r="E133">
        <v>329</v>
      </c>
    </row>
    <row r="134" spans="1:5" x14ac:dyDescent="0.25">
      <c r="A134" t="s">
        <v>97</v>
      </c>
      <c r="B134">
        <v>290</v>
      </c>
      <c r="C134" s="1">
        <v>43012</v>
      </c>
      <c r="D134">
        <v>10</v>
      </c>
      <c r="E134">
        <v>158</v>
      </c>
    </row>
    <row r="135" spans="1:5" x14ac:dyDescent="0.25">
      <c r="A135" t="s">
        <v>89</v>
      </c>
      <c r="B135">
        <v>724</v>
      </c>
      <c r="C135" s="1">
        <v>43839</v>
      </c>
      <c r="D135">
        <v>1</v>
      </c>
      <c r="E135">
        <v>133</v>
      </c>
    </row>
    <row r="136" spans="1:5" x14ac:dyDescent="0.25">
      <c r="A136" t="s">
        <v>113</v>
      </c>
      <c r="B136">
        <v>1532</v>
      </c>
      <c r="C136" s="1">
        <v>44292</v>
      </c>
      <c r="D136">
        <v>4</v>
      </c>
      <c r="E136">
        <v>312</v>
      </c>
    </row>
    <row r="137" spans="1:5" x14ac:dyDescent="0.25">
      <c r="A137" t="s">
        <v>51</v>
      </c>
      <c r="B137">
        <v>721</v>
      </c>
      <c r="C137" s="1">
        <v>43059</v>
      </c>
      <c r="D137">
        <v>11</v>
      </c>
      <c r="E137">
        <v>60</v>
      </c>
    </row>
    <row r="138" spans="1:5" x14ac:dyDescent="0.25">
      <c r="A138" t="s">
        <v>31</v>
      </c>
      <c r="B138">
        <v>683</v>
      </c>
      <c r="C138" s="1">
        <v>44189</v>
      </c>
      <c r="D138">
        <v>12</v>
      </c>
      <c r="E138">
        <v>252</v>
      </c>
    </row>
    <row r="139" spans="1:5" x14ac:dyDescent="0.25">
      <c r="A139" t="s">
        <v>75</v>
      </c>
      <c r="B139">
        <v>838</v>
      </c>
      <c r="C139" s="1">
        <v>43883</v>
      </c>
      <c r="D139">
        <v>2</v>
      </c>
      <c r="E139">
        <v>546</v>
      </c>
    </row>
    <row r="140" spans="1:5" x14ac:dyDescent="0.25">
      <c r="C140" s="1"/>
    </row>
    <row r="141" spans="1:5" x14ac:dyDescent="0.25">
      <c r="C141" s="1"/>
    </row>
    <row r="142" spans="1:5" x14ac:dyDescent="0.25">
      <c r="C142" s="1"/>
    </row>
    <row r="143" spans="1:5" x14ac:dyDescent="0.25">
      <c r="C143" s="1"/>
    </row>
    <row r="144" spans="1:5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  <row r="156" spans="3:3" x14ac:dyDescent="0.25">
      <c r="C156" s="1"/>
    </row>
    <row r="157" spans="3:3" x14ac:dyDescent="0.25">
      <c r="C157" s="1"/>
    </row>
    <row r="158" spans="3:3" x14ac:dyDescent="0.25">
      <c r="C158" s="1"/>
    </row>
    <row r="159" spans="3:3" x14ac:dyDescent="0.25">
      <c r="C159" s="1"/>
    </row>
    <row r="160" spans="3:3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69E96-3433-4515-A854-6DAAD71EC123}">
  <sheetPr codeName="Sheet16"/>
  <dimension ref="A1:G188"/>
  <sheetViews>
    <sheetView zoomScaleNormal="100" workbookViewId="0">
      <selection activeCell="J13" sqref="J13"/>
    </sheetView>
  </sheetViews>
  <sheetFormatPr defaultRowHeight="15" x14ac:dyDescent="0.25"/>
  <cols>
    <col min="1" max="1" width="10.85546875" customWidth="1"/>
    <col min="2" max="2" width="15.42578125" customWidth="1"/>
    <col min="3" max="3" width="16.140625" bestFit="1" customWidth="1"/>
    <col min="4" max="4" width="12.7109375" hidden="1" customWidth="1"/>
    <col min="7" max="7" width="12.140625" bestFit="1" customWidth="1"/>
    <col min="14" max="14" width="14.85546875" customWidth="1"/>
  </cols>
  <sheetData>
    <row r="1" spans="1:7" x14ac:dyDescent="0.25">
      <c r="A1" s="11" t="s">
        <v>120</v>
      </c>
      <c r="B1" s="10" t="s">
        <v>140</v>
      </c>
      <c r="C1" s="10" t="s">
        <v>151</v>
      </c>
      <c r="D1" s="11" t="s">
        <v>155</v>
      </c>
      <c r="F1" s="10" t="s">
        <v>147</v>
      </c>
      <c r="G1" s="10" t="s">
        <v>148</v>
      </c>
    </row>
    <row r="2" spans="1:7" x14ac:dyDescent="0.25">
      <c r="A2">
        <v>3</v>
      </c>
      <c r="B2" t="s">
        <v>128</v>
      </c>
      <c r="C2">
        <v>4</v>
      </c>
      <c r="D2" cm="1">
        <f t="array" aca="1" ref="D2:D149" ca="1">YEAR(INDIRECT("'"&amp;$B$3&amp;"'!C2:C149"))</f>
        <v>2018</v>
      </c>
      <c r="F2">
        <v>2014</v>
      </c>
      <c r="G2">
        <f ca="1">SUMIFS(INDIRECT("'"&amp;$B$3&amp;"'!$B$2:$B$149"),$D$2:$D$149,F2,INDIRECT("'"&amp;$B$3&amp;"'!$D$2:$D$149"),$C$2)</f>
        <v>0</v>
      </c>
    </row>
    <row r="3" spans="1:7" x14ac:dyDescent="0.25">
      <c r="A3" t="str" cm="1">
        <f t="array" ref="A3">_xlfn.IFS(A2=1,"Premium",A2=2,"Luxury",A2=3,"General")</f>
        <v>General</v>
      </c>
      <c r="B3" t="str">
        <f>_xlfn.CONCAT("SALES-",B2)</f>
        <v>SALES-DRAGON</v>
      </c>
      <c r="C3" t="str" cm="1">
        <f t="array" ref="C3">_xlfn.IFS(C2=1,"January",C2=2,"February",C2=3,"March",C2=4,"April",C2=5,"May",C2=6,"June",C2=7,"July",C2=8,"August",C2=9,"September",C2=10,"October",C2=11,"November",C2=12,"December")</f>
        <v>April</v>
      </c>
      <c r="D3">
        <f ca="1"/>
        <v>2020</v>
      </c>
      <c r="F3">
        <v>2015</v>
      </c>
      <c r="G3">
        <f t="shared" ref="G3:G8" ca="1" si="0">SUMIFS(INDIRECT("'"&amp;$B$3&amp;"'!$B$2:$B$149"),$D$2:$D$149,F3,INDIRECT("'"&amp;$B$3&amp;"'!$D$2:$D$149"),$C$2)</f>
        <v>0</v>
      </c>
    </row>
    <row r="4" spans="1:7" x14ac:dyDescent="0.25">
      <c r="D4">
        <f ca="1"/>
        <v>2017</v>
      </c>
      <c r="F4">
        <v>2016</v>
      </c>
      <c r="G4">
        <f t="shared" ca="1" si="0"/>
        <v>0</v>
      </c>
    </row>
    <row r="5" spans="1:7" x14ac:dyDescent="0.25">
      <c r="D5">
        <f ca="1"/>
        <v>2019</v>
      </c>
      <c r="F5">
        <v>2017</v>
      </c>
      <c r="G5">
        <f t="shared" ca="1" si="0"/>
        <v>947</v>
      </c>
    </row>
    <row r="6" spans="1:7" x14ac:dyDescent="0.25">
      <c r="D6">
        <f ca="1"/>
        <v>2021</v>
      </c>
      <c r="F6">
        <v>2018</v>
      </c>
      <c r="G6">
        <f t="shared" ca="1" si="0"/>
        <v>977</v>
      </c>
    </row>
    <row r="7" spans="1:7" x14ac:dyDescent="0.25">
      <c r="D7">
        <f ca="1"/>
        <v>2018</v>
      </c>
      <c r="F7">
        <v>2019</v>
      </c>
      <c r="G7">
        <f t="shared" ca="1" si="0"/>
        <v>10199</v>
      </c>
    </row>
    <row r="8" spans="1:7" x14ac:dyDescent="0.25">
      <c r="D8">
        <f ca="1"/>
        <v>2018</v>
      </c>
      <c r="F8">
        <v>2020</v>
      </c>
      <c r="G8">
        <f t="shared" ca="1" si="0"/>
        <v>6520</v>
      </c>
    </row>
    <row r="9" spans="1:7" x14ac:dyDescent="0.25">
      <c r="D9">
        <f ca="1"/>
        <v>2020</v>
      </c>
    </row>
    <row r="10" spans="1:7" x14ac:dyDescent="0.25">
      <c r="D10">
        <f ca="1"/>
        <v>2020</v>
      </c>
    </row>
    <row r="11" spans="1:7" x14ac:dyDescent="0.25">
      <c r="D11">
        <f ca="1"/>
        <v>2020</v>
      </c>
    </row>
    <row r="12" spans="1:7" x14ac:dyDescent="0.25">
      <c r="D12">
        <f ca="1"/>
        <v>2020</v>
      </c>
    </row>
    <row r="13" spans="1:7" x14ac:dyDescent="0.25">
      <c r="D13">
        <f ca="1"/>
        <v>2019</v>
      </c>
    </row>
    <row r="14" spans="1:7" x14ac:dyDescent="0.25">
      <c r="D14">
        <f ca="1"/>
        <v>2018</v>
      </c>
    </row>
    <row r="15" spans="1:7" x14ac:dyDescent="0.25">
      <c r="D15">
        <f ca="1"/>
        <v>2017</v>
      </c>
    </row>
    <row r="16" spans="1:7" x14ac:dyDescent="0.25">
      <c r="D16">
        <f ca="1"/>
        <v>2019</v>
      </c>
    </row>
    <row r="17" spans="4:4" x14ac:dyDescent="0.25">
      <c r="D17">
        <f ca="1"/>
        <v>2019</v>
      </c>
    </row>
    <row r="18" spans="4:4" x14ac:dyDescent="0.25">
      <c r="D18">
        <f ca="1"/>
        <v>2021</v>
      </c>
    </row>
    <row r="19" spans="4:4" x14ac:dyDescent="0.25">
      <c r="D19">
        <f ca="1"/>
        <v>2021</v>
      </c>
    </row>
    <row r="20" spans="4:4" x14ac:dyDescent="0.25">
      <c r="D20">
        <f ca="1"/>
        <v>2017</v>
      </c>
    </row>
    <row r="21" spans="4:4" x14ac:dyDescent="0.25">
      <c r="D21">
        <f ca="1"/>
        <v>2020</v>
      </c>
    </row>
    <row r="22" spans="4:4" x14ac:dyDescent="0.25">
      <c r="D22">
        <f ca="1"/>
        <v>2021</v>
      </c>
    </row>
    <row r="23" spans="4:4" x14ac:dyDescent="0.25">
      <c r="D23">
        <f ca="1"/>
        <v>2020</v>
      </c>
    </row>
    <row r="24" spans="4:4" x14ac:dyDescent="0.25">
      <c r="D24">
        <f ca="1"/>
        <v>2019</v>
      </c>
    </row>
    <row r="25" spans="4:4" x14ac:dyDescent="0.25">
      <c r="D25">
        <f ca="1"/>
        <v>2021</v>
      </c>
    </row>
    <row r="26" spans="4:4" x14ac:dyDescent="0.25">
      <c r="D26">
        <f ca="1"/>
        <v>2019</v>
      </c>
    </row>
    <row r="27" spans="4:4" x14ac:dyDescent="0.25">
      <c r="D27">
        <f ca="1"/>
        <v>2018</v>
      </c>
    </row>
    <row r="28" spans="4:4" x14ac:dyDescent="0.25">
      <c r="D28">
        <f ca="1"/>
        <v>2021</v>
      </c>
    </row>
    <row r="29" spans="4:4" x14ac:dyDescent="0.25">
      <c r="D29">
        <f ca="1"/>
        <v>2021</v>
      </c>
    </row>
    <row r="30" spans="4:4" x14ac:dyDescent="0.25">
      <c r="D30">
        <f ca="1"/>
        <v>2017</v>
      </c>
    </row>
    <row r="31" spans="4:4" x14ac:dyDescent="0.25">
      <c r="D31">
        <f ca="1"/>
        <v>2020</v>
      </c>
    </row>
    <row r="32" spans="4:4" x14ac:dyDescent="0.25">
      <c r="D32">
        <f ca="1"/>
        <v>2021</v>
      </c>
    </row>
    <row r="33" spans="4:4" x14ac:dyDescent="0.25">
      <c r="D33">
        <f ca="1"/>
        <v>2021</v>
      </c>
    </row>
    <row r="34" spans="4:4" x14ac:dyDescent="0.25">
      <c r="D34">
        <f ca="1"/>
        <v>2019</v>
      </c>
    </row>
    <row r="35" spans="4:4" x14ac:dyDescent="0.25">
      <c r="D35">
        <f ca="1"/>
        <v>2018</v>
      </c>
    </row>
    <row r="36" spans="4:4" x14ac:dyDescent="0.25">
      <c r="D36">
        <f ca="1"/>
        <v>2020</v>
      </c>
    </row>
    <row r="37" spans="4:4" x14ac:dyDescent="0.25">
      <c r="D37">
        <f ca="1"/>
        <v>2020</v>
      </c>
    </row>
    <row r="38" spans="4:4" x14ac:dyDescent="0.25">
      <c r="D38">
        <f ca="1"/>
        <v>2020</v>
      </c>
    </row>
    <row r="39" spans="4:4" x14ac:dyDescent="0.25">
      <c r="D39">
        <f ca="1"/>
        <v>2019</v>
      </c>
    </row>
    <row r="40" spans="4:4" x14ac:dyDescent="0.25">
      <c r="D40">
        <f ca="1"/>
        <v>2019</v>
      </c>
    </row>
    <row r="41" spans="4:4" x14ac:dyDescent="0.25">
      <c r="D41">
        <f ca="1"/>
        <v>2019</v>
      </c>
    </row>
    <row r="42" spans="4:4" x14ac:dyDescent="0.25">
      <c r="D42">
        <f ca="1"/>
        <v>2021</v>
      </c>
    </row>
    <row r="43" spans="4:4" x14ac:dyDescent="0.25">
      <c r="D43">
        <f ca="1"/>
        <v>2018</v>
      </c>
    </row>
    <row r="44" spans="4:4" x14ac:dyDescent="0.25">
      <c r="D44">
        <f ca="1"/>
        <v>2021</v>
      </c>
    </row>
    <row r="45" spans="4:4" x14ac:dyDescent="0.25">
      <c r="D45">
        <f ca="1"/>
        <v>2019</v>
      </c>
    </row>
    <row r="46" spans="4:4" x14ac:dyDescent="0.25">
      <c r="D46">
        <f ca="1"/>
        <v>2020</v>
      </c>
    </row>
    <row r="47" spans="4:4" x14ac:dyDescent="0.25">
      <c r="D47">
        <f ca="1"/>
        <v>2016</v>
      </c>
    </row>
    <row r="48" spans="4:4" x14ac:dyDescent="0.25">
      <c r="D48">
        <f ca="1"/>
        <v>2019</v>
      </c>
    </row>
    <row r="49" spans="4:4" x14ac:dyDescent="0.25">
      <c r="D49">
        <f ca="1"/>
        <v>2020</v>
      </c>
    </row>
    <row r="50" spans="4:4" x14ac:dyDescent="0.25">
      <c r="D50">
        <f ca="1"/>
        <v>2019</v>
      </c>
    </row>
    <row r="51" spans="4:4" x14ac:dyDescent="0.25">
      <c r="D51">
        <f ca="1"/>
        <v>2021</v>
      </c>
    </row>
    <row r="52" spans="4:4" x14ac:dyDescent="0.25">
      <c r="D52">
        <f ca="1"/>
        <v>2020</v>
      </c>
    </row>
    <row r="53" spans="4:4" x14ac:dyDescent="0.25">
      <c r="D53">
        <f ca="1"/>
        <v>2019</v>
      </c>
    </row>
    <row r="54" spans="4:4" x14ac:dyDescent="0.25">
      <c r="D54">
        <f ca="1"/>
        <v>2021</v>
      </c>
    </row>
    <row r="55" spans="4:4" x14ac:dyDescent="0.25">
      <c r="D55">
        <f ca="1"/>
        <v>2018</v>
      </c>
    </row>
    <row r="56" spans="4:4" x14ac:dyDescent="0.25">
      <c r="D56">
        <f ca="1"/>
        <v>2019</v>
      </c>
    </row>
    <row r="57" spans="4:4" x14ac:dyDescent="0.25">
      <c r="D57">
        <f ca="1"/>
        <v>2016</v>
      </c>
    </row>
    <row r="58" spans="4:4" x14ac:dyDescent="0.25">
      <c r="D58">
        <f ca="1"/>
        <v>2020</v>
      </c>
    </row>
    <row r="59" spans="4:4" x14ac:dyDescent="0.25">
      <c r="D59">
        <f ca="1"/>
        <v>2021</v>
      </c>
    </row>
    <row r="60" spans="4:4" x14ac:dyDescent="0.25">
      <c r="D60">
        <f ca="1"/>
        <v>2019</v>
      </c>
    </row>
    <row r="61" spans="4:4" x14ac:dyDescent="0.25">
      <c r="D61">
        <f ca="1"/>
        <v>2019</v>
      </c>
    </row>
    <row r="62" spans="4:4" x14ac:dyDescent="0.25">
      <c r="D62">
        <f ca="1"/>
        <v>2021</v>
      </c>
    </row>
    <row r="63" spans="4:4" x14ac:dyDescent="0.25">
      <c r="D63">
        <f ca="1"/>
        <v>2021</v>
      </c>
    </row>
    <row r="64" spans="4:4" x14ac:dyDescent="0.25">
      <c r="D64">
        <f ca="1"/>
        <v>2021</v>
      </c>
    </row>
    <row r="65" spans="4:4" x14ac:dyDescent="0.25">
      <c r="D65">
        <f ca="1"/>
        <v>2020</v>
      </c>
    </row>
    <row r="66" spans="4:4" x14ac:dyDescent="0.25">
      <c r="D66">
        <f ca="1"/>
        <v>2021</v>
      </c>
    </row>
    <row r="67" spans="4:4" x14ac:dyDescent="0.25">
      <c r="D67">
        <f ca="1"/>
        <v>2020</v>
      </c>
    </row>
    <row r="68" spans="4:4" x14ac:dyDescent="0.25">
      <c r="D68">
        <f ca="1"/>
        <v>2018</v>
      </c>
    </row>
    <row r="69" spans="4:4" x14ac:dyDescent="0.25">
      <c r="D69">
        <f ca="1"/>
        <v>2019</v>
      </c>
    </row>
    <row r="70" spans="4:4" x14ac:dyDescent="0.25">
      <c r="D70">
        <f ca="1"/>
        <v>2019</v>
      </c>
    </row>
    <row r="71" spans="4:4" x14ac:dyDescent="0.25">
      <c r="D71">
        <f ca="1"/>
        <v>2021</v>
      </c>
    </row>
    <row r="72" spans="4:4" x14ac:dyDescent="0.25">
      <c r="D72">
        <f ca="1"/>
        <v>2019</v>
      </c>
    </row>
    <row r="73" spans="4:4" x14ac:dyDescent="0.25">
      <c r="D73">
        <f ca="1"/>
        <v>2020</v>
      </c>
    </row>
    <row r="74" spans="4:4" x14ac:dyDescent="0.25">
      <c r="D74">
        <f ca="1"/>
        <v>2020</v>
      </c>
    </row>
    <row r="75" spans="4:4" x14ac:dyDescent="0.25">
      <c r="D75">
        <f ca="1"/>
        <v>2020</v>
      </c>
    </row>
    <row r="76" spans="4:4" x14ac:dyDescent="0.25">
      <c r="D76">
        <f ca="1"/>
        <v>2019</v>
      </c>
    </row>
    <row r="77" spans="4:4" x14ac:dyDescent="0.25">
      <c r="D77">
        <f ca="1"/>
        <v>2020</v>
      </c>
    </row>
    <row r="78" spans="4:4" x14ac:dyDescent="0.25">
      <c r="D78">
        <f ca="1"/>
        <v>2020</v>
      </c>
    </row>
    <row r="79" spans="4:4" x14ac:dyDescent="0.25">
      <c r="D79">
        <f ca="1"/>
        <v>2020</v>
      </c>
    </row>
    <row r="80" spans="4:4" x14ac:dyDescent="0.25">
      <c r="D80">
        <f ca="1"/>
        <v>2019</v>
      </c>
    </row>
    <row r="81" spans="4:4" x14ac:dyDescent="0.25">
      <c r="D81">
        <f ca="1"/>
        <v>2018</v>
      </c>
    </row>
    <row r="82" spans="4:4" x14ac:dyDescent="0.25">
      <c r="D82">
        <f ca="1"/>
        <v>2019</v>
      </c>
    </row>
    <row r="83" spans="4:4" x14ac:dyDescent="0.25">
      <c r="D83">
        <f ca="1"/>
        <v>2021</v>
      </c>
    </row>
    <row r="84" spans="4:4" x14ac:dyDescent="0.25">
      <c r="D84">
        <f ca="1"/>
        <v>2021</v>
      </c>
    </row>
    <row r="85" spans="4:4" x14ac:dyDescent="0.25">
      <c r="D85">
        <f ca="1"/>
        <v>2018</v>
      </c>
    </row>
    <row r="86" spans="4:4" x14ac:dyDescent="0.25">
      <c r="D86">
        <f ca="1"/>
        <v>2019</v>
      </c>
    </row>
    <row r="87" spans="4:4" x14ac:dyDescent="0.25">
      <c r="D87">
        <f ca="1"/>
        <v>2019</v>
      </c>
    </row>
    <row r="88" spans="4:4" x14ac:dyDescent="0.25">
      <c r="D88">
        <f ca="1"/>
        <v>2019</v>
      </c>
    </row>
    <row r="89" spans="4:4" x14ac:dyDescent="0.25">
      <c r="D89">
        <f ca="1"/>
        <v>2019</v>
      </c>
    </row>
    <row r="90" spans="4:4" x14ac:dyDescent="0.25">
      <c r="D90">
        <f ca="1"/>
        <v>2021</v>
      </c>
    </row>
    <row r="91" spans="4:4" x14ac:dyDescent="0.25">
      <c r="D91">
        <f ca="1"/>
        <v>2019</v>
      </c>
    </row>
    <row r="92" spans="4:4" x14ac:dyDescent="0.25">
      <c r="D92">
        <f ca="1"/>
        <v>2020</v>
      </c>
    </row>
    <row r="93" spans="4:4" x14ac:dyDescent="0.25">
      <c r="D93">
        <f ca="1"/>
        <v>2020</v>
      </c>
    </row>
    <row r="94" spans="4:4" x14ac:dyDescent="0.25">
      <c r="D94">
        <f ca="1"/>
        <v>2019</v>
      </c>
    </row>
    <row r="95" spans="4:4" x14ac:dyDescent="0.25">
      <c r="D95">
        <f ca="1"/>
        <v>2017</v>
      </c>
    </row>
    <row r="96" spans="4:4" x14ac:dyDescent="0.25">
      <c r="D96">
        <f ca="1"/>
        <v>2018</v>
      </c>
    </row>
    <row r="97" spans="4:4" x14ac:dyDescent="0.25">
      <c r="D97">
        <f ca="1"/>
        <v>2019</v>
      </c>
    </row>
    <row r="98" spans="4:4" x14ac:dyDescent="0.25">
      <c r="D98">
        <f ca="1"/>
        <v>2020</v>
      </c>
    </row>
    <row r="99" spans="4:4" x14ac:dyDescent="0.25">
      <c r="D99">
        <f ca="1"/>
        <v>2020</v>
      </c>
    </row>
    <row r="100" spans="4:4" x14ac:dyDescent="0.25">
      <c r="D100">
        <f ca="1"/>
        <v>2021</v>
      </c>
    </row>
    <row r="101" spans="4:4" x14ac:dyDescent="0.25">
      <c r="D101">
        <f ca="1"/>
        <v>2020</v>
      </c>
    </row>
    <row r="102" spans="4:4" x14ac:dyDescent="0.25">
      <c r="D102">
        <f ca="1"/>
        <v>2019</v>
      </c>
    </row>
    <row r="103" spans="4:4" x14ac:dyDescent="0.25">
      <c r="D103">
        <f ca="1"/>
        <v>2021</v>
      </c>
    </row>
    <row r="104" spans="4:4" x14ac:dyDescent="0.25">
      <c r="D104">
        <f ca="1"/>
        <v>2019</v>
      </c>
    </row>
    <row r="105" spans="4:4" x14ac:dyDescent="0.25">
      <c r="D105">
        <f ca="1"/>
        <v>2018</v>
      </c>
    </row>
    <row r="106" spans="4:4" x14ac:dyDescent="0.25">
      <c r="D106">
        <f ca="1"/>
        <v>2020</v>
      </c>
    </row>
    <row r="107" spans="4:4" x14ac:dyDescent="0.25">
      <c r="D107">
        <f ca="1"/>
        <v>2021</v>
      </c>
    </row>
    <row r="108" spans="4:4" x14ac:dyDescent="0.25">
      <c r="D108">
        <f ca="1"/>
        <v>2017</v>
      </c>
    </row>
    <row r="109" spans="4:4" x14ac:dyDescent="0.25">
      <c r="D109">
        <f ca="1"/>
        <v>2021</v>
      </c>
    </row>
    <row r="110" spans="4:4" x14ac:dyDescent="0.25">
      <c r="D110">
        <f ca="1"/>
        <v>2021</v>
      </c>
    </row>
    <row r="111" spans="4:4" x14ac:dyDescent="0.25">
      <c r="D111">
        <f ca="1"/>
        <v>2019</v>
      </c>
    </row>
    <row r="112" spans="4:4" x14ac:dyDescent="0.25">
      <c r="D112">
        <f ca="1"/>
        <v>2020</v>
      </c>
    </row>
    <row r="113" spans="4:4" x14ac:dyDescent="0.25">
      <c r="D113">
        <f ca="1"/>
        <v>2021</v>
      </c>
    </row>
    <row r="114" spans="4:4" x14ac:dyDescent="0.25">
      <c r="D114">
        <f ca="1"/>
        <v>2021</v>
      </c>
    </row>
    <row r="115" spans="4:4" x14ac:dyDescent="0.25">
      <c r="D115">
        <f ca="1"/>
        <v>2019</v>
      </c>
    </row>
    <row r="116" spans="4:4" x14ac:dyDescent="0.25">
      <c r="D116">
        <f ca="1"/>
        <v>2021</v>
      </c>
    </row>
    <row r="117" spans="4:4" x14ac:dyDescent="0.25">
      <c r="D117">
        <f ca="1"/>
        <v>2018</v>
      </c>
    </row>
    <row r="118" spans="4:4" x14ac:dyDescent="0.25">
      <c r="D118">
        <f ca="1"/>
        <v>2021</v>
      </c>
    </row>
    <row r="119" spans="4:4" x14ac:dyDescent="0.25">
      <c r="D119">
        <f ca="1"/>
        <v>2019</v>
      </c>
    </row>
    <row r="120" spans="4:4" x14ac:dyDescent="0.25">
      <c r="D120">
        <f ca="1"/>
        <v>2021</v>
      </c>
    </row>
    <row r="121" spans="4:4" x14ac:dyDescent="0.25">
      <c r="D121">
        <f ca="1"/>
        <v>2018</v>
      </c>
    </row>
    <row r="122" spans="4:4" x14ac:dyDescent="0.25">
      <c r="D122">
        <f ca="1"/>
        <v>2019</v>
      </c>
    </row>
    <row r="123" spans="4:4" x14ac:dyDescent="0.25">
      <c r="D123">
        <f ca="1"/>
        <v>2020</v>
      </c>
    </row>
    <row r="124" spans="4:4" x14ac:dyDescent="0.25">
      <c r="D124">
        <f ca="1"/>
        <v>2020</v>
      </c>
    </row>
    <row r="125" spans="4:4" x14ac:dyDescent="0.25">
      <c r="D125">
        <f ca="1"/>
        <v>2021</v>
      </c>
    </row>
    <row r="126" spans="4:4" x14ac:dyDescent="0.25">
      <c r="D126">
        <f ca="1"/>
        <v>2017</v>
      </c>
    </row>
    <row r="127" spans="4:4" x14ac:dyDescent="0.25">
      <c r="D127">
        <f ca="1"/>
        <v>2020</v>
      </c>
    </row>
    <row r="128" spans="4:4" x14ac:dyDescent="0.25">
      <c r="D128">
        <f ca="1"/>
        <v>2019</v>
      </c>
    </row>
    <row r="129" spans="4:4" x14ac:dyDescent="0.25">
      <c r="D129">
        <f ca="1"/>
        <v>2020</v>
      </c>
    </row>
    <row r="130" spans="4:4" x14ac:dyDescent="0.25">
      <c r="D130">
        <f ca="1"/>
        <v>2017</v>
      </c>
    </row>
    <row r="131" spans="4:4" x14ac:dyDescent="0.25">
      <c r="D131">
        <f ca="1"/>
        <v>2021</v>
      </c>
    </row>
    <row r="132" spans="4:4" x14ac:dyDescent="0.25">
      <c r="D132">
        <f ca="1"/>
        <v>2018</v>
      </c>
    </row>
    <row r="133" spans="4:4" x14ac:dyDescent="0.25">
      <c r="D133">
        <f ca="1"/>
        <v>2020</v>
      </c>
    </row>
    <row r="134" spans="4:4" x14ac:dyDescent="0.25">
      <c r="D134">
        <f ca="1"/>
        <v>2019</v>
      </c>
    </row>
    <row r="135" spans="4:4" x14ac:dyDescent="0.25">
      <c r="D135">
        <f ca="1"/>
        <v>2019</v>
      </c>
    </row>
    <row r="136" spans="4:4" x14ac:dyDescent="0.25">
      <c r="D136">
        <f ca="1"/>
        <v>2018</v>
      </c>
    </row>
    <row r="137" spans="4:4" x14ac:dyDescent="0.25">
      <c r="D137">
        <f ca="1"/>
        <v>2019</v>
      </c>
    </row>
    <row r="138" spans="4:4" x14ac:dyDescent="0.25">
      <c r="D138">
        <f ca="1"/>
        <v>2021</v>
      </c>
    </row>
    <row r="139" spans="4:4" x14ac:dyDescent="0.25">
      <c r="D139">
        <f ca="1"/>
        <v>2020</v>
      </c>
    </row>
    <row r="140" spans="4:4" x14ac:dyDescent="0.25">
      <c r="D140">
        <f ca="1"/>
        <v>2019</v>
      </c>
    </row>
    <row r="141" spans="4:4" x14ac:dyDescent="0.25">
      <c r="D141">
        <f ca="1"/>
        <v>2020</v>
      </c>
    </row>
    <row r="142" spans="4:4" x14ac:dyDescent="0.25">
      <c r="D142">
        <f ca="1"/>
        <v>2019</v>
      </c>
    </row>
    <row r="143" spans="4:4" x14ac:dyDescent="0.25">
      <c r="D143">
        <f ca="1"/>
        <v>2019</v>
      </c>
    </row>
    <row r="144" spans="4:4" x14ac:dyDescent="0.25">
      <c r="D144">
        <f ca="1"/>
        <v>2020</v>
      </c>
    </row>
    <row r="145" spans="4:4" x14ac:dyDescent="0.25">
      <c r="D145">
        <f ca="1"/>
        <v>2018</v>
      </c>
    </row>
    <row r="146" spans="4:4" x14ac:dyDescent="0.25">
      <c r="D146">
        <f ca="1"/>
        <v>2020</v>
      </c>
    </row>
    <row r="147" spans="4:4" x14ac:dyDescent="0.25">
      <c r="D147">
        <f ca="1"/>
        <v>2020</v>
      </c>
    </row>
    <row r="148" spans="4:4" x14ac:dyDescent="0.25">
      <c r="D148">
        <f ca="1"/>
        <v>2020</v>
      </c>
    </row>
    <row r="149" spans="4:4" x14ac:dyDescent="0.25">
      <c r="D149">
        <f ca="1"/>
        <v>2020</v>
      </c>
    </row>
    <row r="186" spans="2:2" hidden="1" x14ac:dyDescent="0.25">
      <c r="B186" t="str" cm="1">
        <f t="array" ref="B186:B187">_xlfn._xlws.FILTER(PRODUCTS!F8:F14,PRODUCTS!G8:G14='PRODUCT ANALYSIS'!A2)</f>
        <v>DRAGON</v>
      </c>
    </row>
    <row r="187" spans="2:2" hidden="1" x14ac:dyDescent="0.25">
      <c r="B187" t="str">
        <v>TARVA</v>
      </c>
    </row>
    <row r="188" spans="2:2" hidden="1" x14ac:dyDescent="0.25"/>
  </sheetData>
  <dataValidations count="2">
    <dataValidation type="whole" allowBlank="1" showInputMessage="1" showErrorMessage="1" prompt="Please enter the month !_x000a_" sqref="C2" xr:uid="{96484DD9-6A27-4E9E-8AEB-C749A96EABF2}">
      <formula1>1</formula1>
      <formula2>12</formula2>
    </dataValidation>
    <dataValidation type="list" allowBlank="1" showInputMessage="1" showErrorMessage="1" sqref="B2" xr:uid="{D66791CD-D0BA-4B54-B123-AD8B359044E1}">
      <formula1>_xlfn.ANCHORARRAY($B$186)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A1E0B1-BA65-4CDD-B6E6-ED29C9D2108A}">
          <x14:formula1>
            <xm:f>SEGMENTS!$F$10:$F$12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4A236-F9E8-4428-9598-20524859B8C4}">
  <sheetPr codeName="Sheet17"/>
  <dimension ref="A1:Z1038"/>
  <sheetViews>
    <sheetView tabSelected="1" workbookViewId="0">
      <pane ySplit="1" topLeftCell="A2" activePane="bottomLeft" state="frozen"/>
      <selection pane="bottomLeft" activeCell="Q11" sqref="Q11"/>
    </sheetView>
  </sheetViews>
  <sheetFormatPr defaultRowHeight="15" x14ac:dyDescent="0.25"/>
  <cols>
    <col min="1" max="1" width="13" customWidth="1"/>
    <col min="2" max="2" width="15.140625" bestFit="1" customWidth="1"/>
    <col min="3" max="3" width="16.5703125" style="1" customWidth="1"/>
    <col min="4" max="4" width="11.7109375" customWidth="1"/>
    <col min="5" max="5" width="11.85546875" customWidth="1"/>
    <col min="6" max="6" width="14.42578125" style="12" customWidth="1"/>
    <col min="7" max="7" width="13.5703125" customWidth="1"/>
    <col min="8" max="8" width="16.85546875" style="13" customWidth="1"/>
    <col min="9" max="9" width="10.7109375" bestFit="1" customWidth="1"/>
    <col min="10" max="10" width="15.7109375" customWidth="1"/>
    <col min="11" max="11" width="15" customWidth="1"/>
    <col min="12" max="12" width="6.85546875" customWidth="1"/>
    <col min="13" max="13" width="15.85546875" customWidth="1"/>
    <col min="14" max="14" width="10.42578125" customWidth="1"/>
    <col min="25" max="26" width="0" hidden="1" customWidth="1"/>
  </cols>
  <sheetData>
    <row r="1" spans="1:26" x14ac:dyDescent="0.25">
      <c r="A1" t="s">
        <v>134</v>
      </c>
      <c r="B1" t="s">
        <v>26</v>
      </c>
      <c r="C1" s="1" t="s">
        <v>139</v>
      </c>
      <c r="D1" t="s">
        <v>140</v>
      </c>
      <c r="E1" t="s">
        <v>120</v>
      </c>
      <c r="F1" s="12" t="s">
        <v>138</v>
      </c>
      <c r="G1" t="s">
        <v>141</v>
      </c>
      <c r="H1" s="13" t="s">
        <v>149</v>
      </c>
      <c r="I1" t="s">
        <v>142</v>
      </c>
      <c r="J1" t="s">
        <v>152</v>
      </c>
      <c r="K1" t="s">
        <v>144</v>
      </c>
      <c r="L1" t="s">
        <v>145</v>
      </c>
      <c r="M1" t="s">
        <v>150</v>
      </c>
      <c r="N1" t="s">
        <v>146</v>
      </c>
      <c r="Y1" t="s">
        <v>129</v>
      </c>
      <c r="Z1">
        <v>56.49</v>
      </c>
    </row>
    <row r="2" spans="1:26" x14ac:dyDescent="0.25">
      <c r="A2" t="s">
        <v>90</v>
      </c>
      <c r="B2" t="s">
        <v>86</v>
      </c>
      <c r="C2" s="1">
        <v>43995</v>
      </c>
      <c r="D2" t="s">
        <v>129</v>
      </c>
      <c r="E2">
        <v>1</v>
      </c>
      <c r="F2" s="12">
        <v>214</v>
      </c>
      <c r="G2">
        <v>735</v>
      </c>
      <c r="H2" s="13">
        <v>157233.51</v>
      </c>
      <c r="I2" s="1">
        <v>44202</v>
      </c>
      <c r="J2">
        <v>1</v>
      </c>
      <c r="K2">
        <v>510</v>
      </c>
      <c r="L2">
        <v>53</v>
      </c>
      <c r="M2" t="s">
        <v>156</v>
      </c>
      <c r="N2" t="s">
        <v>153</v>
      </c>
      <c r="Y2" t="s">
        <v>128</v>
      </c>
      <c r="Z2">
        <v>34.75</v>
      </c>
    </row>
    <row r="3" spans="1:26" x14ac:dyDescent="0.25">
      <c r="A3" t="s">
        <v>118</v>
      </c>
      <c r="B3" t="s">
        <v>112</v>
      </c>
      <c r="C3" s="1">
        <v>43001</v>
      </c>
      <c r="D3" t="s">
        <v>129</v>
      </c>
      <c r="E3">
        <v>1</v>
      </c>
      <c r="F3" s="12">
        <v>214</v>
      </c>
      <c r="G3">
        <v>637</v>
      </c>
      <c r="H3" s="13">
        <v>136261.51</v>
      </c>
      <c r="I3" s="1">
        <v>43830</v>
      </c>
      <c r="J3">
        <v>12</v>
      </c>
      <c r="K3">
        <v>565</v>
      </c>
      <c r="L3">
        <v>63</v>
      </c>
      <c r="M3" t="s">
        <v>157</v>
      </c>
      <c r="N3" t="s">
        <v>153</v>
      </c>
      <c r="Y3" t="s">
        <v>127</v>
      </c>
      <c r="Z3">
        <v>28.59</v>
      </c>
    </row>
    <row r="4" spans="1:26" x14ac:dyDescent="0.25">
      <c r="A4" t="s">
        <v>62</v>
      </c>
      <c r="B4" t="s">
        <v>57</v>
      </c>
      <c r="C4" s="1">
        <v>43724</v>
      </c>
      <c r="D4" t="s">
        <v>129</v>
      </c>
      <c r="E4">
        <v>1</v>
      </c>
      <c r="F4" s="12">
        <v>214</v>
      </c>
      <c r="G4">
        <v>1050</v>
      </c>
      <c r="H4" s="13">
        <v>224643.51</v>
      </c>
      <c r="I4" s="1">
        <v>43945</v>
      </c>
      <c r="J4">
        <v>4</v>
      </c>
      <c r="K4">
        <v>222</v>
      </c>
      <c r="L4">
        <v>27</v>
      </c>
      <c r="M4" t="s">
        <v>158</v>
      </c>
      <c r="N4" t="s">
        <v>153</v>
      </c>
      <c r="Y4" t="s">
        <v>130</v>
      </c>
      <c r="Z4">
        <v>81.86999999999999</v>
      </c>
    </row>
    <row r="5" spans="1:26" x14ac:dyDescent="0.25">
      <c r="A5" t="s">
        <v>52</v>
      </c>
      <c r="B5" t="s">
        <v>50</v>
      </c>
      <c r="C5" s="1">
        <v>43917</v>
      </c>
      <c r="D5" t="s">
        <v>129</v>
      </c>
      <c r="E5">
        <v>1</v>
      </c>
      <c r="F5" s="12">
        <v>214</v>
      </c>
      <c r="G5">
        <v>501</v>
      </c>
      <c r="H5" s="13">
        <v>107157.51</v>
      </c>
      <c r="I5" s="1">
        <v>43971</v>
      </c>
      <c r="J5">
        <v>5</v>
      </c>
      <c r="K5">
        <v>91</v>
      </c>
      <c r="L5">
        <v>65</v>
      </c>
      <c r="M5" t="s">
        <v>157</v>
      </c>
      <c r="N5" t="s">
        <v>154</v>
      </c>
      <c r="Y5" t="s">
        <v>131</v>
      </c>
      <c r="Z5">
        <v>29.47</v>
      </c>
    </row>
    <row r="6" spans="1:26" x14ac:dyDescent="0.25">
      <c r="A6" t="s">
        <v>90</v>
      </c>
      <c r="B6" t="s">
        <v>86</v>
      </c>
      <c r="C6" s="1">
        <v>43995</v>
      </c>
      <c r="D6" t="s">
        <v>129</v>
      </c>
      <c r="E6">
        <v>1</v>
      </c>
      <c r="F6" s="12">
        <v>214</v>
      </c>
      <c r="G6">
        <v>554</v>
      </c>
      <c r="H6" s="13">
        <v>118499.51</v>
      </c>
      <c r="I6" s="1">
        <v>44319</v>
      </c>
      <c r="J6">
        <v>5</v>
      </c>
      <c r="K6">
        <v>600</v>
      </c>
      <c r="L6">
        <v>57</v>
      </c>
      <c r="M6" t="s">
        <v>159</v>
      </c>
      <c r="N6" t="s">
        <v>154</v>
      </c>
      <c r="Y6" t="s">
        <v>133</v>
      </c>
      <c r="Z6">
        <v>51.949999999999996</v>
      </c>
    </row>
    <row r="7" spans="1:26" x14ac:dyDescent="0.25">
      <c r="A7" t="s">
        <v>116</v>
      </c>
      <c r="B7" t="s">
        <v>110</v>
      </c>
      <c r="C7" s="1">
        <v>42277</v>
      </c>
      <c r="D7" t="s">
        <v>129</v>
      </c>
      <c r="E7">
        <v>1</v>
      </c>
      <c r="F7" s="12">
        <v>214</v>
      </c>
      <c r="G7">
        <v>617</v>
      </c>
      <c r="H7" s="13">
        <v>131981.51</v>
      </c>
      <c r="I7" s="1">
        <v>44372</v>
      </c>
      <c r="J7">
        <v>6</v>
      </c>
      <c r="K7">
        <v>142</v>
      </c>
      <c r="L7">
        <v>22</v>
      </c>
      <c r="M7" t="s">
        <v>160</v>
      </c>
      <c r="N7" t="s">
        <v>153</v>
      </c>
      <c r="Y7" t="s">
        <v>132</v>
      </c>
      <c r="Z7">
        <v>45.12</v>
      </c>
    </row>
    <row r="8" spans="1:26" x14ac:dyDescent="0.25">
      <c r="A8" t="s">
        <v>74</v>
      </c>
      <c r="B8" t="s">
        <v>69</v>
      </c>
      <c r="C8" s="1">
        <v>42228</v>
      </c>
      <c r="D8" t="s">
        <v>129</v>
      </c>
      <c r="E8">
        <v>1</v>
      </c>
      <c r="F8" s="12">
        <v>214</v>
      </c>
      <c r="G8">
        <v>228</v>
      </c>
      <c r="H8" s="13">
        <v>48735.51</v>
      </c>
      <c r="I8" s="1">
        <v>43342</v>
      </c>
      <c r="J8">
        <v>8</v>
      </c>
      <c r="K8">
        <v>141</v>
      </c>
      <c r="L8">
        <v>38</v>
      </c>
      <c r="M8" t="s">
        <v>161</v>
      </c>
      <c r="N8" t="s">
        <v>153</v>
      </c>
    </row>
    <row r="9" spans="1:26" x14ac:dyDescent="0.25">
      <c r="A9" t="s">
        <v>92</v>
      </c>
      <c r="B9" t="s">
        <v>88</v>
      </c>
      <c r="C9" s="1">
        <v>42660</v>
      </c>
      <c r="D9" t="s">
        <v>129</v>
      </c>
      <c r="E9">
        <v>1</v>
      </c>
      <c r="F9" s="12">
        <v>214</v>
      </c>
      <c r="G9">
        <v>1362</v>
      </c>
      <c r="H9" s="13">
        <v>291411.51</v>
      </c>
      <c r="I9" s="1">
        <v>43138</v>
      </c>
      <c r="J9">
        <v>2</v>
      </c>
      <c r="K9">
        <v>238</v>
      </c>
      <c r="L9">
        <v>30</v>
      </c>
      <c r="M9" t="s">
        <v>158</v>
      </c>
      <c r="N9" t="s">
        <v>154</v>
      </c>
    </row>
    <row r="10" spans="1:26" x14ac:dyDescent="0.25">
      <c r="A10" t="s">
        <v>44</v>
      </c>
      <c r="B10" t="s">
        <v>2</v>
      </c>
      <c r="C10" s="1">
        <v>42641</v>
      </c>
      <c r="D10" t="s">
        <v>129</v>
      </c>
      <c r="E10">
        <v>1</v>
      </c>
      <c r="F10" s="12">
        <v>214</v>
      </c>
      <c r="G10">
        <v>295</v>
      </c>
      <c r="H10" s="13">
        <v>63073.51</v>
      </c>
      <c r="I10" s="1">
        <v>42673</v>
      </c>
      <c r="J10">
        <v>10</v>
      </c>
      <c r="K10">
        <v>42</v>
      </c>
      <c r="L10">
        <v>65</v>
      </c>
      <c r="M10" t="s">
        <v>157</v>
      </c>
      <c r="N10" t="s">
        <v>153</v>
      </c>
    </row>
    <row r="11" spans="1:26" x14ac:dyDescent="0.25">
      <c r="A11" t="s">
        <v>35</v>
      </c>
      <c r="B11" t="s">
        <v>3</v>
      </c>
      <c r="C11" s="1">
        <v>42465</v>
      </c>
      <c r="D11" t="s">
        <v>129</v>
      </c>
      <c r="E11">
        <v>1</v>
      </c>
      <c r="F11" s="12">
        <v>214</v>
      </c>
      <c r="G11">
        <v>885</v>
      </c>
      <c r="H11" s="13">
        <v>189333.51</v>
      </c>
      <c r="I11" s="1">
        <v>43951</v>
      </c>
      <c r="J11">
        <v>4</v>
      </c>
      <c r="K11">
        <v>551</v>
      </c>
      <c r="L11">
        <v>52</v>
      </c>
      <c r="M11" t="s">
        <v>156</v>
      </c>
      <c r="N11" t="s">
        <v>153</v>
      </c>
    </row>
    <row r="12" spans="1:26" x14ac:dyDescent="0.25">
      <c r="A12" t="s">
        <v>46</v>
      </c>
      <c r="B12" t="s">
        <v>39</v>
      </c>
      <c r="C12" s="1">
        <v>43490</v>
      </c>
      <c r="D12" t="s">
        <v>129</v>
      </c>
      <c r="E12">
        <v>1</v>
      </c>
      <c r="F12" s="12">
        <v>214</v>
      </c>
      <c r="G12">
        <v>1961</v>
      </c>
      <c r="H12" s="13">
        <v>419597.51</v>
      </c>
      <c r="I12" s="1">
        <v>44302</v>
      </c>
      <c r="J12">
        <v>4</v>
      </c>
      <c r="K12">
        <v>367</v>
      </c>
      <c r="L12">
        <v>56</v>
      </c>
      <c r="M12" t="s">
        <v>159</v>
      </c>
      <c r="N12" t="s">
        <v>154</v>
      </c>
    </row>
    <row r="13" spans="1:26" x14ac:dyDescent="0.25">
      <c r="A13" t="s">
        <v>31</v>
      </c>
      <c r="B13" t="s">
        <v>27</v>
      </c>
      <c r="C13" s="1">
        <v>42433</v>
      </c>
      <c r="D13" t="s">
        <v>129</v>
      </c>
      <c r="E13">
        <v>1</v>
      </c>
      <c r="F13" s="12">
        <v>214</v>
      </c>
      <c r="G13">
        <v>204</v>
      </c>
      <c r="H13" s="13">
        <v>43599.51</v>
      </c>
      <c r="I13" s="1">
        <v>42702</v>
      </c>
      <c r="J13">
        <v>11</v>
      </c>
      <c r="K13">
        <v>45</v>
      </c>
      <c r="L13">
        <v>43</v>
      </c>
      <c r="M13" t="s">
        <v>162</v>
      </c>
      <c r="N13" t="s">
        <v>153</v>
      </c>
    </row>
    <row r="14" spans="1:26" x14ac:dyDescent="0.25">
      <c r="A14" t="s">
        <v>71</v>
      </c>
      <c r="B14" t="s">
        <v>66</v>
      </c>
      <c r="C14" s="1">
        <v>43621</v>
      </c>
      <c r="D14" t="s">
        <v>129</v>
      </c>
      <c r="E14">
        <v>1</v>
      </c>
      <c r="F14" s="12">
        <v>214</v>
      </c>
      <c r="G14">
        <v>1474</v>
      </c>
      <c r="H14" s="13">
        <v>315379.51</v>
      </c>
      <c r="I14" s="1">
        <v>43899</v>
      </c>
      <c r="J14">
        <v>3</v>
      </c>
      <c r="K14">
        <v>516</v>
      </c>
      <c r="L14">
        <v>38</v>
      </c>
      <c r="M14" t="s">
        <v>161</v>
      </c>
      <c r="N14" t="s">
        <v>153</v>
      </c>
    </row>
    <row r="15" spans="1:26" x14ac:dyDescent="0.25">
      <c r="A15" t="s">
        <v>82</v>
      </c>
      <c r="B15" t="s">
        <v>79</v>
      </c>
      <c r="C15" s="1">
        <v>43278</v>
      </c>
      <c r="D15" t="s">
        <v>129</v>
      </c>
      <c r="E15">
        <v>1</v>
      </c>
      <c r="F15" s="12">
        <v>214</v>
      </c>
      <c r="G15">
        <v>355</v>
      </c>
      <c r="H15" s="13">
        <v>75913.509999999995</v>
      </c>
      <c r="I15" s="1">
        <v>44077</v>
      </c>
      <c r="J15">
        <v>9</v>
      </c>
      <c r="K15">
        <v>301</v>
      </c>
      <c r="L15">
        <v>62</v>
      </c>
      <c r="M15" t="s">
        <v>157</v>
      </c>
      <c r="N15" t="s">
        <v>154</v>
      </c>
    </row>
    <row r="16" spans="1:26" x14ac:dyDescent="0.25">
      <c r="A16" t="s">
        <v>89</v>
      </c>
      <c r="B16" t="s">
        <v>85</v>
      </c>
      <c r="C16" s="1">
        <v>43093</v>
      </c>
      <c r="D16" t="s">
        <v>129</v>
      </c>
      <c r="E16">
        <v>1</v>
      </c>
      <c r="F16" s="12">
        <v>214</v>
      </c>
      <c r="G16">
        <v>477</v>
      </c>
      <c r="H16" s="13">
        <v>102021.51</v>
      </c>
      <c r="I16" s="1">
        <v>43683</v>
      </c>
      <c r="J16">
        <v>8</v>
      </c>
      <c r="K16">
        <v>14</v>
      </c>
      <c r="L16">
        <v>57</v>
      </c>
      <c r="M16" t="s">
        <v>159</v>
      </c>
      <c r="N16" t="s">
        <v>154</v>
      </c>
    </row>
    <row r="17" spans="1:14" x14ac:dyDescent="0.25">
      <c r="A17" t="s">
        <v>44</v>
      </c>
      <c r="B17" t="s">
        <v>2</v>
      </c>
      <c r="C17" s="1">
        <v>42641</v>
      </c>
      <c r="D17" t="s">
        <v>129</v>
      </c>
      <c r="E17">
        <v>1</v>
      </c>
      <c r="F17" s="12">
        <v>214</v>
      </c>
      <c r="G17">
        <v>490</v>
      </c>
      <c r="H17" s="13">
        <v>104803.51</v>
      </c>
      <c r="I17" s="1">
        <v>44167</v>
      </c>
      <c r="J17">
        <v>12</v>
      </c>
      <c r="K17">
        <v>509</v>
      </c>
      <c r="L17">
        <v>50</v>
      </c>
      <c r="M17" t="s">
        <v>163</v>
      </c>
      <c r="N17" t="s">
        <v>154</v>
      </c>
    </row>
    <row r="18" spans="1:14" x14ac:dyDescent="0.25">
      <c r="A18" t="s">
        <v>44</v>
      </c>
      <c r="B18" t="s">
        <v>2</v>
      </c>
      <c r="C18" s="1">
        <v>42641</v>
      </c>
      <c r="D18" t="s">
        <v>129</v>
      </c>
      <c r="E18">
        <v>1</v>
      </c>
      <c r="F18" s="12">
        <v>214</v>
      </c>
      <c r="G18">
        <v>1835</v>
      </c>
      <c r="H18" s="13">
        <v>392633.51</v>
      </c>
      <c r="I18" s="1">
        <v>44293</v>
      </c>
      <c r="J18">
        <v>4</v>
      </c>
      <c r="K18">
        <v>374</v>
      </c>
      <c r="L18">
        <v>53</v>
      </c>
      <c r="M18" t="s">
        <v>156</v>
      </c>
      <c r="N18" t="s">
        <v>154</v>
      </c>
    </row>
    <row r="19" spans="1:14" x14ac:dyDescent="0.25">
      <c r="A19" t="s">
        <v>70</v>
      </c>
      <c r="B19" t="s">
        <v>65</v>
      </c>
      <c r="C19" s="1">
        <v>43523</v>
      </c>
      <c r="D19" t="s">
        <v>129</v>
      </c>
      <c r="E19">
        <v>1</v>
      </c>
      <c r="F19" s="12">
        <v>214</v>
      </c>
      <c r="G19">
        <v>943</v>
      </c>
      <c r="H19" s="13">
        <v>201745.51</v>
      </c>
      <c r="I19" s="1">
        <v>44241</v>
      </c>
      <c r="J19">
        <v>2</v>
      </c>
      <c r="K19">
        <v>26</v>
      </c>
      <c r="L19">
        <v>54</v>
      </c>
      <c r="M19" t="s">
        <v>156</v>
      </c>
      <c r="N19" t="s">
        <v>154</v>
      </c>
    </row>
    <row r="20" spans="1:14" x14ac:dyDescent="0.25">
      <c r="A20" t="s">
        <v>116</v>
      </c>
      <c r="B20" t="s">
        <v>110</v>
      </c>
      <c r="C20" s="1">
        <v>42277</v>
      </c>
      <c r="D20" t="s">
        <v>129</v>
      </c>
      <c r="E20">
        <v>1</v>
      </c>
      <c r="F20" s="12">
        <v>214</v>
      </c>
      <c r="G20">
        <v>1919</v>
      </c>
      <c r="H20" s="13">
        <v>410609.51</v>
      </c>
      <c r="I20" s="1">
        <v>43167</v>
      </c>
      <c r="J20">
        <v>3</v>
      </c>
      <c r="K20">
        <v>203</v>
      </c>
      <c r="L20">
        <v>51</v>
      </c>
      <c r="M20" t="s">
        <v>156</v>
      </c>
      <c r="N20" t="s">
        <v>154</v>
      </c>
    </row>
    <row r="21" spans="1:14" x14ac:dyDescent="0.25">
      <c r="A21" t="s">
        <v>80</v>
      </c>
      <c r="B21" t="s">
        <v>77</v>
      </c>
      <c r="C21" s="1">
        <v>43282</v>
      </c>
      <c r="D21" t="s">
        <v>129</v>
      </c>
      <c r="E21">
        <v>1</v>
      </c>
      <c r="F21" s="12">
        <v>214</v>
      </c>
      <c r="G21">
        <v>1241</v>
      </c>
      <c r="H21" s="13">
        <v>265517.51</v>
      </c>
      <c r="I21" s="1">
        <v>44272</v>
      </c>
      <c r="J21">
        <v>3</v>
      </c>
      <c r="K21">
        <v>277</v>
      </c>
      <c r="L21">
        <v>32</v>
      </c>
      <c r="M21" t="s">
        <v>164</v>
      </c>
      <c r="N21" t="s">
        <v>153</v>
      </c>
    </row>
    <row r="22" spans="1:14" x14ac:dyDescent="0.25">
      <c r="A22" t="s">
        <v>103</v>
      </c>
      <c r="B22" t="s">
        <v>100</v>
      </c>
      <c r="C22" s="1">
        <v>42080</v>
      </c>
      <c r="D22" t="s">
        <v>129</v>
      </c>
      <c r="E22">
        <v>1</v>
      </c>
      <c r="F22" s="12">
        <v>214</v>
      </c>
      <c r="G22">
        <v>568</v>
      </c>
      <c r="H22" s="13">
        <v>121495.51</v>
      </c>
      <c r="I22" s="1">
        <v>43731</v>
      </c>
      <c r="J22">
        <v>9</v>
      </c>
      <c r="K22">
        <v>11</v>
      </c>
      <c r="L22">
        <v>57</v>
      </c>
      <c r="M22" t="s">
        <v>159</v>
      </c>
      <c r="N22" t="s">
        <v>154</v>
      </c>
    </row>
    <row r="23" spans="1:14" x14ac:dyDescent="0.25">
      <c r="A23" t="s">
        <v>93</v>
      </c>
      <c r="B23" t="s">
        <v>94</v>
      </c>
      <c r="C23" s="1">
        <v>43618</v>
      </c>
      <c r="D23" t="s">
        <v>129</v>
      </c>
      <c r="E23">
        <v>1</v>
      </c>
      <c r="F23" s="12">
        <v>214</v>
      </c>
      <c r="G23">
        <v>558</v>
      </c>
      <c r="H23" s="13">
        <v>119355.51</v>
      </c>
      <c r="I23" s="1">
        <v>44076</v>
      </c>
      <c r="J23">
        <v>9</v>
      </c>
      <c r="K23">
        <v>538</v>
      </c>
      <c r="L23">
        <v>53</v>
      </c>
      <c r="M23" t="s">
        <v>156</v>
      </c>
      <c r="N23" t="s">
        <v>154</v>
      </c>
    </row>
    <row r="24" spans="1:14" x14ac:dyDescent="0.25">
      <c r="A24" t="s">
        <v>95</v>
      </c>
      <c r="B24" t="s">
        <v>96</v>
      </c>
      <c r="C24" s="1">
        <v>43758</v>
      </c>
      <c r="D24" t="s">
        <v>129</v>
      </c>
      <c r="E24">
        <v>1</v>
      </c>
      <c r="F24" s="12">
        <v>214</v>
      </c>
      <c r="G24">
        <v>709</v>
      </c>
      <c r="H24" s="13">
        <v>151669.51</v>
      </c>
      <c r="I24" s="1">
        <v>44439</v>
      </c>
      <c r="J24">
        <v>8</v>
      </c>
      <c r="K24">
        <v>226</v>
      </c>
      <c r="L24">
        <v>52</v>
      </c>
      <c r="M24" t="s">
        <v>156</v>
      </c>
      <c r="N24" t="s">
        <v>153</v>
      </c>
    </row>
    <row r="25" spans="1:14" x14ac:dyDescent="0.25">
      <c r="A25" t="s">
        <v>44</v>
      </c>
      <c r="B25" t="s">
        <v>2</v>
      </c>
      <c r="C25" s="1">
        <v>42641</v>
      </c>
      <c r="D25" t="s">
        <v>129</v>
      </c>
      <c r="E25">
        <v>1</v>
      </c>
      <c r="F25" s="12">
        <v>214</v>
      </c>
      <c r="G25">
        <v>689</v>
      </c>
      <c r="H25" s="13">
        <v>147389.51</v>
      </c>
      <c r="I25" s="1">
        <v>42930</v>
      </c>
      <c r="J25">
        <v>7</v>
      </c>
      <c r="K25">
        <v>317</v>
      </c>
      <c r="L25">
        <v>65</v>
      </c>
      <c r="M25" t="s">
        <v>157</v>
      </c>
      <c r="N25" t="s">
        <v>154</v>
      </c>
    </row>
    <row r="26" spans="1:14" x14ac:dyDescent="0.25">
      <c r="A26" t="s">
        <v>34</v>
      </c>
      <c r="B26" t="s">
        <v>30</v>
      </c>
      <c r="C26" s="1">
        <v>43765</v>
      </c>
      <c r="D26" t="s">
        <v>129</v>
      </c>
      <c r="E26">
        <v>1</v>
      </c>
      <c r="F26" s="12">
        <v>214</v>
      </c>
      <c r="G26">
        <v>1661</v>
      </c>
      <c r="H26" s="13">
        <v>355397.51</v>
      </c>
      <c r="I26" s="1">
        <v>43910</v>
      </c>
      <c r="J26">
        <v>3</v>
      </c>
      <c r="K26">
        <v>291</v>
      </c>
      <c r="L26">
        <v>59</v>
      </c>
      <c r="M26" t="s">
        <v>159</v>
      </c>
      <c r="N26" t="s">
        <v>154</v>
      </c>
    </row>
    <row r="27" spans="1:14" x14ac:dyDescent="0.25">
      <c r="A27" t="s">
        <v>62</v>
      </c>
      <c r="B27" t="s">
        <v>57</v>
      </c>
      <c r="C27" s="1">
        <v>43724</v>
      </c>
      <c r="D27" t="s">
        <v>129</v>
      </c>
      <c r="E27">
        <v>1</v>
      </c>
      <c r="F27" s="12">
        <v>214</v>
      </c>
      <c r="G27">
        <v>299</v>
      </c>
      <c r="H27" s="13">
        <v>63929.51</v>
      </c>
      <c r="I27" s="1">
        <v>44169</v>
      </c>
      <c r="J27">
        <v>12</v>
      </c>
      <c r="K27">
        <v>312</v>
      </c>
      <c r="L27">
        <v>55</v>
      </c>
      <c r="M27" t="s">
        <v>156</v>
      </c>
      <c r="N27" t="s">
        <v>154</v>
      </c>
    </row>
    <row r="28" spans="1:14" x14ac:dyDescent="0.25">
      <c r="A28" t="s">
        <v>93</v>
      </c>
      <c r="B28" t="s">
        <v>94</v>
      </c>
      <c r="C28" s="1">
        <v>43618</v>
      </c>
      <c r="D28" t="s">
        <v>129</v>
      </c>
      <c r="E28">
        <v>1</v>
      </c>
      <c r="F28" s="12">
        <v>214</v>
      </c>
      <c r="G28">
        <v>785</v>
      </c>
      <c r="H28" s="13">
        <v>167933.51</v>
      </c>
      <c r="I28" s="1">
        <v>44006</v>
      </c>
      <c r="J28">
        <v>6</v>
      </c>
      <c r="K28">
        <v>239</v>
      </c>
      <c r="L28">
        <v>51</v>
      </c>
      <c r="M28" t="s">
        <v>156</v>
      </c>
      <c r="N28" t="s">
        <v>154</v>
      </c>
    </row>
    <row r="29" spans="1:14" x14ac:dyDescent="0.25">
      <c r="A29" t="s">
        <v>53</v>
      </c>
      <c r="B29" t="s">
        <v>54</v>
      </c>
      <c r="C29" s="1">
        <v>42816</v>
      </c>
      <c r="D29" t="s">
        <v>129</v>
      </c>
      <c r="E29">
        <v>1</v>
      </c>
      <c r="F29" s="12">
        <v>214</v>
      </c>
      <c r="G29">
        <v>1989</v>
      </c>
      <c r="H29" s="13">
        <v>425589.51</v>
      </c>
      <c r="I29" s="1">
        <v>43177</v>
      </c>
      <c r="J29">
        <v>3</v>
      </c>
      <c r="K29">
        <v>193</v>
      </c>
      <c r="L29">
        <v>32</v>
      </c>
      <c r="M29" t="s">
        <v>164</v>
      </c>
      <c r="N29" t="s">
        <v>154</v>
      </c>
    </row>
    <row r="30" spans="1:14" x14ac:dyDescent="0.25">
      <c r="A30" t="s">
        <v>63</v>
      </c>
      <c r="B30" t="s">
        <v>58</v>
      </c>
      <c r="C30" s="1">
        <v>43155</v>
      </c>
      <c r="D30" t="s">
        <v>129</v>
      </c>
      <c r="E30">
        <v>1</v>
      </c>
      <c r="F30" s="12">
        <v>214</v>
      </c>
      <c r="G30">
        <v>297</v>
      </c>
      <c r="H30" s="13">
        <v>63501.51</v>
      </c>
      <c r="I30" s="1">
        <v>43458</v>
      </c>
      <c r="J30">
        <v>12</v>
      </c>
      <c r="K30">
        <v>90</v>
      </c>
      <c r="L30">
        <v>54</v>
      </c>
      <c r="M30" t="s">
        <v>156</v>
      </c>
      <c r="N30" t="s">
        <v>154</v>
      </c>
    </row>
    <row r="31" spans="1:14" x14ac:dyDescent="0.25">
      <c r="A31" t="s">
        <v>71</v>
      </c>
      <c r="B31" t="s">
        <v>66</v>
      </c>
      <c r="C31" s="1">
        <v>43621</v>
      </c>
      <c r="D31" t="s">
        <v>129</v>
      </c>
      <c r="E31">
        <v>1</v>
      </c>
      <c r="F31" s="12">
        <v>214</v>
      </c>
      <c r="G31">
        <v>593</v>
      </c>
      <c r="H31" s="13">
        <v>126845.51</v>
      </c>
      <c r="I31" s="1">
        <v>44151</v>
      </c>
      <c r="J31">
        <v>11</v>
      </c>
      <c r="K31">
        <v>90</v>
      </c>
      <c r="L31">
        <v>54</v>
      </c>
      <c r="M31" t="s">
        <v>156</v>
      </c>
      <c r="N31" t="s">
        <v>154</v>
      </c>
    </row>
    <row r="32" spans="1:14" x14ac:dyDescent="0.25">
      <c r="A32" t="s">
        <v>114</v>
      </c>
      <c r="B32" t="s">
        <v>108</v>
      </c>
      <c r="C32" s="1">
        <v>42808</v>
      </c>
      <c r="D32" t="s">
        <v>129</v>
      </c>
      <c r="E32">
        <v>1</v>
      </c>
      <c r="F32" s="12">
        <v>214</v>
      </c>
      <c r="G32">
        <v>331</v>
      </c>
      <c r="H32" s="13">
        <v>70777.509999999995</v>
      </c>
      <c r="I32" s="1">
        <v>44184</v>
      </c>
      <c r="J32">
        <v>12</v>
      </c>
      <c r="K32">
        <v>132</v>
      </c>
      <c r="L32">
        <v>58</v>
      </c>
      <c r="M32" t="s">
        <v>159</v>
      </c>
      <c r="N32" t="s">
        <v>154</v>
      </c>
    </row>
    <row r="33" spans="1:14" x14ac:dyDescent="0.25">
      <c r="A33" t="s">
        <v>45</v>
      </c>
      <c r="B33" t="s">
        <v>38</v>
      </c>
      <c r="C33" s="1">
        <v>43534</v>
      </c>
      <c r="D33" t="s">
        <v>129</v>
      </c>
      <c r="E33">
        <v>1</v>
      </c>
      <c r="F33" s="12">
        <v>214</v>
      </c>
      <c r="G33">
        <v>1375</v>
      </c>
      <c r="H33" s="13">
        <v>294193.51</v>
      </c>
      <c r="I33" s="1">
        <v>43581</v>
      </c>
      <c r="J33">
        <v>4</v>
      </c>
      <c r="K33">
        <v>459</v>
      </c>
      <c r="L33">
        <v>23</v>
      </c>
      <c r="M33" t="s">
        <v>160</v>
      </c>
      <c r="N33" t="s">
        <v>154</v>
      </c>
    </row>
    <row r="34" spans="1:14" x14ac:dyDescent="0.25">
      <c r="A34" t="s">
        <v>114</v>
      </c>
      <c r="B34" t="s">
        <v>108</v>
      </c>
      <c r="C34" s="1">
        <v>42808</v>
      </c>
      <c r="D34" t="s">
        <v>129</v>
      </c>
      <c r="E34">
        <v>1</v>
      </c>
      <c r="F34" s="12">
        <v>214</v>
      </c>
      <c r="G34">
        <v>350</v>
      </c>
      <c r="H34" s="13">
        <v>74843.509999999995</v>
      </c>
      <c r="I34" s="1">
        <v>43699</v>
      </c>
      <c r="J34">
        <v>8</v>
      </c>
      <c r="K34">
        <v>233</v>
      </c>
      <c r="L34">
        <v>60</v>
      </c>
      <c r="M34" t="s">
        <v>159</v>
      </c>
      <c r="N34" t="s">
        <v>154</v>
      </c>
    </row>
    <row r="35" spans="1:14" x14ac:dyDescent="0.25">
      <c r="A35" t="s">
        <v>53</v>
      </c>
      <c r="B35" t="s">
        <v>54</v>
      </c>
      <c r="C35" s="1">
        <v>42816</v>
      </c>
      <c r="D35" t="s">
        <v>129</v>
      </c>
      <c r="E35">
        <v>1</v>
      </c>
      <c r="F35" s="12">
        <v>214</v>
      </c>
      <c r="G35">
        <v>668</v>
      </c>
      <c r="H35" s="13">
        <v>142895.51</v>
      </c>
      <c r="I35" s="1">
        <v>43151</v>
      </c>
      <c r="J35">
        <v>2</v>
      </c>
      <c r="K35">
        <v>492</v>
      </c>
      <c r="L35">
        <v>62</v>
      </c>
      <c r="M35" t="s">
        <v>157</v>
      </c>
      <c r="N35" t="s">
        <v>154</v>
      </c>
    </row>
    <row r="36" spans="1:14" x14ac:dyDescent="0.25">
      <c r="A36" t="s">
        <v>44</v>
      </c>
      <c r="B36" t="s">
        <v>2</v>
      </c>
      <c r="C36" s="1">
        <v>42641</v>
      </c>
      <c r="D36" t="s">
        <v>129</v>
      </c>
      <c r="E36">
        <v>1</v>
      </c>
      <c r="F36" s="12">
        <v>214</v>
      </c>
      <c r="G36">
        <v>465</v>
      </c>
      <c r="H36" s="13">
        <v>99453.51</v>
      </c>
      <c r="I36" s="1">
        <v>42736</v>
      </c>
      <c r="J36">
        <v>1</v>
      </c>
      <c r="K36">
        <v>74</v>
      </c>
      <c r="L36">
        <v>69</v>
      </c>
      <c r="M36" t="s">
        <v>165</v>
      </c>
      <c r="N36" t="s">
        <v>154</v>
      </c>
    </row>
    <row r="37" spans="1:14" x14ac:dyDescent="0.25">
      <c r="A37" t="s">
        <v>115</v>
      </c>
      <c r="B37" t="s">
        <v>109</v>
      </c>
      <c r="C37" s="1">
        <v>43357</v>
      </c>
      <c r="D37" t="s">
        <v>129</v>
      </c>
      <c r="E37">
        <v>1</v>
      </c>
      <c r="F37" s="12">
        <v>214</v>
      </c>
      <c r="G37">
        <v>714</v>
      </c>
      <c r="H37" s="13">
        <v>152739.51</v>
      </c>
      <c r="I37" s="1">
        <v>44363</v>
      </c>
      <c r="J37">
        <v>6</v>
      </c>
      <c r="K37">
        <v>424</v>
      </c>
      <c r="L37">
        <v>27</v>
      </c>
      <c r="M37" t="s">
        <v>158</v>
      </c>
      <c r="N37" t="s">
        <v>153</v>
      </c>
    </row>
    <row r="38" spans="1:14" x14ac:dyDescent="0.25">
      <c r="A38" t="s">
        <v>62</v>
      </c>
      <c r="B38" t="s">
        <v>57</v>
      </c>
      <c r="C38" s="1">
        <v>43724</v>
      </c>
      <c r="D38" t="s">
        <v>129</v>
      </c>
      <c r="E38">
        <v>1</v>
      </c>
      <c r="F38" s="12">
        <v>214</v>
      </c>
      <c r="G38">
        <v>299</v>
      </c>
      <c r="H38" s="13">
        <v>63929.51</v>
      </c>
      <c r="I38" s="1">
        <v>44349</v>
      </c>
      <c r="J38">
        <v>6</v>
      </c>
      <c r="K38">
        <v>399</v>
      </c>
      <c r="L38">
        <v>59</v>
      </c>
      <c r="M38" t="s">
        <v>159</v>
      </c>
      <c r="N38" t="s">
        <v>154</v>
      </c>
    </row>
    <row r="39" spans="1:14" x14ac:dyDescent="0.25">
      <c r="A39" t="s">
        <v>64</v>
      </c>
      <c r="B39" t="s">
        <v>59</v>
      </c>
      <c r="C39" s="1">
        <v>43153</v>
      </c>
      <c r="D39" t="s">
        <v>129</v>
      </c>
      <c r="E39">
        <v>1</v>
      </c>
      <c r="F39" s="12">
        <v>214</v>
      </c>
      <c r="G39">
        <v>212</v>
      </c>
      <c r="H39" s="13">
        <v>45311.51</v>
      </c>
      <c r="I39" s="1">
        <v>44151</v>
      </c>
      <c r="J39">
        <v>11</v>
      </c>
      <c r="K39">
        <v>114</v>
      </c>
      <c r="L39">
        <v>40</v>
      </c>
      <c r="M39" t="s">
        <v>161</v>
      </c>
      <c r="N39" t="s">
        <v>153</v>
      </c>
    </row>
    <row r="40" spans="1:14" x14ac:dyDescent="0.25">
      <c r="A40" t="s">
        <v>82</v>
      </c>
      <c r="B40" t="s">
        <v>79</v>
      </c>
      <c r="C40" s="1">
        <v>43278</v>
      </c>
      <c r="D40" t="s">
        <v>129</v>
      </c>
      <c r="E40">
        <v>1</v>
      </c>
      <c r="F40" s="12">
        <v>214</v>
      </c>
      <c r="G40">
        <v>260</v>
      </c>
      <c r="H40" s="13">
        <v>55583.51</v>
      </c>
      <c r="I40" s="1">
        <v>43363</v>
      </c>
      <c r="J40">
        <v>9</v>
      </c>
      <c r="K40">
        <v>592</v>
      </c>
      <c r="L40">
        <v>35</v>
      </c>
      <c r="M40" t="s">
        <v>164</v>
      </c>
      <c r="N40" t="s">
        <v>154</v>
      </c>
    </row>
    <row r="41" spans="1:14" x14ac:dyDescent="0.25">
      <c r="A41" t="s">
        <v>95</v>
      </c>
      <c r="B41" t="s">
        <v>96</v>
      </c>
      <c r="C41" s="1">
        <v>43758</v>
      </c>
      <c r="D41" t="s">
        <v>129</v>
      </c>
      <c r="E41">
        <v>1</v>
      </c>
      <c r="F41" s="12">
        <v>214</v>
      </c>
      <c r="G41">
        <v>295</v>
      </c>
      <c r="H41" s="13">
        <v>63073.51</v>
      </c>
      <c r="I41" s="1">
        <v>44163</v>
      </c>
      <c r="J41">
        <v>11</v>
      </c>
      <c r="K41">
        <v>5</v>
      </c>
      <c r="L41">
        <v>25</v>
      </c>
      <c r="M41" t="s">
        <v>160</v>
      </c>
      <c r="N41" t="s">
        <v>154</v>
      </c>
    </row>
    <row r="42" spans="1:14" x14ac:dyDescent="0.25">
      <c r="A42" t="s">
        <v>118</v>
      </c>
      <c r="B42" t="s">
        <v>112</v>
      </c>
      <c r="C42" s="1">
        <v>43001</v>
      </c>
      <c r="D42" t="s">
        <v>129</v>
      </c>
      <c r="E42">
        <v>1</v>
      </c>
      <c r="F42" s="12">
        <v>214</v>
      </c>
      <c r="G42">
        <v>237</v>
      </c>
      <c r="H42" s="13">
        <v>50661.51</v>
      </c>
      <c r="I42" s="1">
        <v>43852</v>
      </c>
      <c r="J42">
        <v>1</v>
      </c>
      <c r="K42">
        <v>117</v>
      </c>
      <c r="L42">
        <v>60</v>
      </c>
      <c r="M42" t="s">
        <v>159</v>
      </c>
      <c r="N42" t="s">
        <v>153</v>
      </c>
    </row>
    <row r="43" spans="1:14" x14ac:dyDescent="0.25">
      <c r="A43" t="s">
        <v>104</v>
      </c>
      <c r="B43" t="s">
        <v>101</v>
      </c>
      <c r="C43" s="1">
        <v>43296</v>
      </c>
      <c r="D43" t="s">
        <v>129</v>
      </c>
      <c r="E43">
        <v>1</v>
      </c>
      <c r="F43" s="12">
        <v>214</v>
      </c>
      <c r="G43">
        <v>650</v>
      </c>
      <c r="H43" s="13">
        <v>139043.51</v>
      </c>
      <c r="I43" s="1">
        <v>43919</v>
      </c>
      <c r="J43">
        <v>3</v>
      </c>
      <c r="K43">
        <v>486</v>
      </c>
      <c r="L43">
        <v>65</v>
      </c>
      <c r="M43" t="s">
        <v>157</v>
      </c>
      <c r="N43" t="s">
        <v>154</v>
      </c>
    </row>
    <row r="44" spans="1:14" x14ac:dyDescent="0.25">
      <c r="A44" t="s">
        <v>60</v>
      </c>
      <c r="B44" t="s">
        <v>55</v>
      </c>
      <c r="C44" s="1">
        <v>43555</v>
      </c>
      <c r="D44" t="s">
        <v>129</v>
      </c>
      <c r="E44">
        <v>1</v>
      </c>
      <c r="F44" s="12">
        <v>214</v>
      </c>
      <c r="G44">
        <v>278</v>
      </c>
      <c r="H44" s="13">
        <v>59435.51</v>
      </c>
      <c r="I44" s="1">
        <v>43624</v>
      </c>
      <c r="J44">
        <v>6</v>
      </c>
      <c r="K44">
        <v>68</v>
      </c>
      <c r="L44">
        <v>62</v>
      </c>
      <c r="M44" t="s">
        <v>157</v>
      </c>
      <c r="N44" t="s">
        <v>153</v>
      </c>
    </row>
    <row r="45" spans="1:14" x14ac:dyDescent="0.25">
      <c r="A45" t="s">
        <v>51</v>
      </c>
      <c r="B45" t="s">
        <v>49</v>
      </c>
      <c r="C45" s="1">
        <v>42394</v>
      </c>
      <c r="D45" t="s">
        <v>129</v>
      </c>
      <c r="E45">
        <v>1</v>
      </c>
      <c r="F45" s="12">
        <v>214</v>
      </c>
      <c r="G45">
        <v>236</v>
      </c>
      <c r="H45" s="13">
        <v>50447.51</v>
      </c>
      <c r="I45" s="1">
        <v>43955</v>
      </c>
      <c r="J45">
        <v>5</v>
      </c>
      <c r="K45">
        <v>77</v>
      </c>
      <c r="L45">
        <v>60</v>
      </c>
      <c r="M45" t="s">
        <v>159</v>
      </c>
      <c r="N45" t="s">
        <v>154</v>
      </c>
    </row>
    <row r="46" spans="1:14" x14ac:dyDescent="0.25">
      <c r="A46" t="s">
        <v>72</v>
      </c>
      <c r="B46" t="s">
        <v>67</v>
      </c>
      <c r="C46" s="1">
        <v>43827</v>
      </c>
      <c r="D46" t="s">
        <v>129</v>
      </c>
      <c r="E46">
        <v>1</v>
      </c>
      <c r="F46" s="12">
        <v>214</v>
      </c>
      <c r="G46">
        <v>1263</v>
      </c>
      <c r="H46" s="13">
        <v>270225.51</v>
      </c>
      <c r="I46" s="1">
        <v>44314</v>
      </c>
      <c r="J46">
        <v>4</v>
      </c>
      <c r="K46">
        <v>374</v>
      </c>
      <c r="L46">
        <v>53</v>
      </c>
      <c r="M46" t="s">
        <v>156</v>
      </c>
      <c r="N46" t="s">
        <v>154</v>
      </c>
    </row>
    <row r="47" spans="1:14" x14ac:dyDescent="0.25">
      <c r="A47" t="s">
        <v>35</v>
      </c>
      <c r="B47" t="s">
        <v>3</v>
      </c>
      <c r="C47" s="1">
        <v>42465</v>
      </c>
      <c r="D47" t="s">
        <v>129</v>
      </c>
      <c r="E47">
        <v>1</v>
      </c>
      <c r="F47" s="12">
        <v>214</v>
      </c>
      <c r="G47">
        <v>293</v>
      </c>
      <c r="H47" s="13">
        <v>62645.51</v>
      </c>
      <c r="I47" s="1">
        <v>43360</v>
      </c>
      <c r="J47">
        <v>9</v>
      </c>
      <c r="K47">
        <v>522</v>
      </c>
      <c r="L47">
        <v>54</v>
      </c>
      <c r="M47" t="s">
        <v>156</v>
      </c>
      <c r="N47" t="s">
        <v>154</v>
      </c>
    </row>
    <row r="48" spans="1:14" x14ac:dyDescent="0.25">
      <c r="A48" t="s">
        <v>53</v>
      </c>
      <c r="B48" t="s">
        <v>54</v>
      </c>
      <c r="C48" s="1">
        <v>42816</v>
      </c>
      <c r="D48" t="s">
        <v>129</v>
      </c>
      <c r="E48">
        <v>1</v>
      </c>
      <c r="F48" s="12">
        <v>214</v>
      </c>
      <c r="G48">
        <v>1135</v>
      </c>
      <c r="H48" s="13">
        <v>242833.51</v>
      </c>
      <c r="I48" s="1">
        <v>43569</v>
      </c>
      <c r="J48">
        <v>4</v>
      </c>
      <c r="K48">
        <v>532</v>
      </c>
      <c r="L48">
        <v>55</v>
      </c>
      <c r="M48" t="s">
        <v>156</v>
      </c>
      <c r="N48" t="s">
        <v>154</v>
      </c>
    </row>
    <row r="49" spans="1:14" x14ac:dyDescent="0.25">
      <c r="A49" t="s">
        <v>64</v>
      </c>
      <c r="B49" t="s">
        <v>59</v>
      </c>
      <c r="C49" s="1">
        <v>43153</v>
      </c>
      <c r="D49" t="s">
        <v>129</v>
      </c>
      <c r="E49">
        <v>1</v>
      </c>
      <c r="F49" s="12">
        <v>214</v>
      </c>
      <c r="G49">
        <v>670</v>
      </c>
      <c r="H49" s="13">
        <v>143323.51</v>
      </c>
      <c r="I49" s="1">
        <v>44063</v>
      </c>
      <c r="J49">
        <v>8</v>
      </c>
      <c r="K49">
        <v>550</v>
      </c>
      <c r="L49">
        <v>22</v>
      </c>
      <c r="M49" t="s">
        <v>160</v>
      </c>
      <c r="N49" t="s">
        <v>154</v>
      </c>
    </row>
    <row r="50" spans="1:14" x14ac:dyDescent="0.25">
      <c r="A50" t="s">
        <v>116</v>
      </c>
      <c r="B50" t="s">
        <v>110</v>
      </c>
      <c r="C50" s="1">
        <v>42277</v>
      </c>
      <c r="D50" t="s">
        <v>129</v>
      </c>
      <c r="E50">
        <v>1</v>
      </c>
      <c r="F50" s="12">
        <v>214</v>
      </c>
      <c r="G50">
        <v>214</v>
      </c>
      <c r="H50" s="13">
        <v>45739.51</v>
      </c>
      <c r="I50" s="1">
        <v>42529</v>
      </c>
      <c r="J50">
        <v>6</v>
      </c>
      <c r="K50">
        <v>96</v>
      </c>
      <c r="L50">
        <v>51</v>
      </c>
      <c r="M50" t="s">
        <v>156</v>
      </c>
      <c r="N50" t="s">
        <v>154</v>
      </c>
    </row>
    <row r="51" spans="1:14" x14ac:dyDescent="0.25">
      <c r="A51" t="s">
        <v>91</v>
      </c>
      <c r="B51" t="s">
        <v>87</v>
      </c>
      <c r="C51" s="1">
        <v>43557</v>
      </c>
      <c r="D51" t="s">
        <v>129</v>
      </c>
      <c r="E51">
        <v>1</v>
      </c>
      <c r="F51" s="12">
        <v>214</v>
      </c>
      <c r="G51">
        <v>615</v>
      </c>
      <c r="H51" s="13">
        <v>131553.51</v>
      </c>
      <c r="I51" s="1">
        <v>43975</v>
      </c>
      <c r="J51">
        <v>5</v>
      </c>
      <c r="K51">
        <v>352</v>
      </c>
      <c r="L51">
        <v>31</v>
      </c>
      <c r="M51" t="s">
        <v>164</v>
      </c>
      <c r="N51" t="s">
        <v>153</v>
      </c>
    </row>
    <row r="52" spans="1:14" x14ac:dyDescent="0.25">
      <c r="A52" t="s">
        <v>74</v>
      </c>
      <c r="B52" t="s">
        <v>69</v>
      </c>
      <c r="C52" s="1">
        <v>42228</v>
      </c>
      <c r="D52" t="s">
        <v>129</v>
      </c>
      <c r="E52">
        <v>1</v>
      </c>
      <c r="F52" s="12">
        <v>214</v>
      </c>
      <c r="G52">
        <v>197</v>
      </c>
      <c r="H52" s="13">
        <v>42101.51</v>
      </c>
      <c r="I52" s="1">
        <v>42521</v>
      </c>
      <c r="J52">
        <v>5</v>
      </c>
      <c r="K52">
        <v>217</v>
      </c>
      <c r="L52">
        <v>60</v>
      </c>
      <c r="M52" t="s">
        <v>159</v>
      </c>
      <c r="N52" t="s">
        <v>154</v>
      </c>
    </row>
    <row r="53" spans="1:14" x14ac:dyDescent="0.25">
      <c r="A53" t="s">
        <v>92</v>
      </c>
      <c r="B53" t="s">
        <v>88</v>
      </c>
      <c r="C53" s="1">
        <v>42660</v>
      </c>
      <c r="D53" t="s">
        <v>129</v>
      </c>
      <c r="E53">
        <v>1</v>
      </c>
      <c r="F53" s="12">
        <v>214</v>
      </c>
      <c r="G53">
        <v>446</v>
      </c>
      <c r="H53" s="13">
        <v>95387.51</v>
      </c>
      <c r="I53" s="1">
        <v>43297</v>
      </c>
      <c r="J53">
        <v>7</v>
      </c>
      <c r="K53">
        <v>104</v>
      </c>
      <c r="L53">
        <v>58</v>
      </c>
      <c r="M53" t="s">
        <v>159</v>
      </c>
      <c r="N53" t="s">
        <v>154</v>
      </c>
    </row>
    <row r="54" spans="1:14" x14ac:dyDescent="0.25">
      <c r="A54" t="s">
        <v>31</v>
      </c>
      <c r="B54" t="s">
        <v>27</v>
      </c>
      <c r="C54" s="1">
        <v>42433</v>
      </c>
      <c r="D54" t="s">
        <v>129</v>
      </c>
      <c r="E54">
        <v>1</v>
      </c>
      <c r="F54" s="12">
        <v>214</v>
      </c>
      <c r="G54">
        <v>638</v>
      </c>
      <c r="H54" s="13">
        <v>136475.51</v>
      </c>
      <c r="I54" s="1">
        <v>43404</v>
      </c>
      <c r="J54">
        <v>10</v>
      </c>
      <c r="K54">
        <v>302</v>
      </c>
      <c r="L54">
        <v>53</v>
      </c>
      <c r="M54" t="s">
        <v>156</v>
      </c>
      <c r="N54" t="s">
        <v>154</v>
      </c>
    </row>
    <row r="55" spans="1:14" x14ac:dyDescent="0.25">
      <c r="A55" t="s">
        <v>43</v>
      </c>
      <c r="B55" t="s">
        <v>37</v>
      </c>
      <c r="C55" s="1">
        <v>43490</v>
      </c>
      <c r="D55" t="s">
        <v>129</v>
      </c>
      <c r="E55">
        <v>1</v>
      </c>
      <c r="F55" s="12">
        <v>214</v>
      </c>
      <c r="G55">
        <v>849</v>
      </c>
      <c r="H55" s="13">
        <v>181629.51</v>
      </c>
      <c r="I55" s="1">
        <v>43522</v>
      </c>
      <c r="J55">
        <v>2</v>
      </c>
      <c r="K55">
        <v>32</v>
      </c>
      <c r="L55">
        <v>59</v>
      </c>
      <c r="M55" t="s">
        <v>159</v>
      </c>
      <c r="N55" t="s">
        <v>154</v>
      </c>
    </row>
    <row r="56" spans="1:14" x14ac:dyDescent="0.25">
      <c r="A56" t="s">
        <v>95</v>
      </c>
      <c r="B56" t="s">
        <v>96</v>
      </c>
      <c r="C56" s="1">
        <v>43758</v>
      </c>
      <c r="D56" t="s">
        <v>129</v>
      </c>
      <c r="E56">
        <v>1</v>
      </c>
      <c r="F56" s="12">
        <v>214</v>
      </c>
      <c r="G56">
        <v>175</v>
      </c>
      <c r="H56" s="13">
        <v>37393.51</v>
      </c>
      <c r="I56" s="1">
        <v>44188</v>
      </c>
      <c r="J56">
        <v>12</v>
      </c>
      <c r="K56">
        <v>559</v>
      </c>
      <c r="L56">
        <v>56</v>
      </c>
      <c r="M56" t="s">
        <v>159</v>
      </c>
      <c r="N56" t="s">
        <v>154</v>
      </c>
    </row>
    <row r="57" spans="1:14" x14ac:dyDescent="0.25">
      <c r="A57" t="s">
        <v>92</v>
      </c>
      <c r="B57" t="s">
        <v>88</v>
      </c>
      <c r="C57" s="1">
        <v>42660</v>
      </c>
      <c r="D57" t="s">
        <v>129</v>
      </c>
      <c r="E57">
        <v>1</v>
      </c>
      <c r="F57" s="12">
        <v>214</v>
      </c>
      <c r="G57">
        <v>724</v>
      </c>
      <c r="H57" s="13">
        <v>154879.51</v>
      </c>
      <c r="I57" s="1">
        <v>44287</v>
      </c>
      <c r="J57">
        <v>4</v>
      </c>
      <c r="K57">
        <v>281</v>
      </c>
      <c r="L57">
        <v>20</v>
      </c>
      <c r="M57" t="s">
        <v>160</v>
      </c>
      <c r="N57" t="s">
        <v>153</v>
      </c>
    </row>
    <row r="58" spans="1:14" x14ac:dyDescent="0.25">
      <c r="A58" t="s">
        <v>34</v>
      </c>
      <c r="B58" t="s">
        <v>30</v>
      </c>
      <c r="C58" s="1">
        <v>43765</v>
      </c>
      <c r="D58" t="s">
        <v>129</v>
      </c>
      <c r="E58">
        <v>1</v>
      </c>
      <c r="F58" s="12">
        <v>214</v>
      </c>
      <c r="G58">
        <v>330</v>
      </c>
      <c r="H58" s="13">
        <v>70563.509999999995</v>
      </c>
      <c r="I58" s="1">
        <v>44331</v>
      </c>
      <c r="J58">
        <v>5</v>
      </c>
      <c r="K58">
        <v>220</v>
      </c>
      <c r="L58">
        <v>25</v>
      </c>
      <c r="M58" t="s">
        <v>160</v>
      </c>
      <c r="N58" t="s">
        <v>153</v>
      </c>
    </row>
    <row r="59" spans="1:14" x14ac:dyDescent="0.25">
      <c r="A59" t="s">
        <v>42</v>
      </c>
      <c r="B59" t="s">
        <v>1</v>
      </c>
      <c r="C59" s="1">
        <v>43712</v>
      </c>
      <c r="D59" t="s">
        <v>129</v>
      </c>
      <c r="E59">
        <v>1</v>
      </c>
      <c r="F59" s="12">
        <v>214</v>
      </c>
      <c r="G59">
        <v>542</v>
      </c>
      <c r="H59" s="13">
        <v>115931.51</v>
      </c>
      <c r="I59" s="1">
        <v>44424</v>
      </c>
      <c r="J59">
        <v>8</v>
      </c>
      <c r="K59">
        <v>233</v>
      </c>
      <c r="L59">
        <v>60</v>
      </c>
      <c r="M59" t="s">
        <v>159</v>
      </c>
      <c r="N59" t="s">
        <v>154</v>
      </c>
    </row>
    <row r="60" spans="1:14" x14ac:dyDescent="0.25">
      <c r="A60" t="s">
        <v>115</v>
      </c>
      <c r="B60" t="s">
        <v>109</v>
      </c>
      <c r="C60" s="1">
        <v>43357</v>
      </c>
      <c r="D60" t="s">
        <v>129</v>
      </c>
      <c r="E60">
        <v>1</v>
      </c>
      <c r="F60" s="12">
        <v>214</v>
      </c>
      <c r="G60">
        <v>137</v>
      </c>
      <c r="H60" s="13">
        <v>29261.51</v>
      </c>
      <c r="I60" s="1">
        <v>43854</v>
      </c>
      <c r="J60">
        <v>1</v>
      </c>
      <c r="K60">
        <v>539</v>
      </c>
      <c r="L60">
        <v>45</v>
      </c>
      <c r="M60" t="s">
        <v>162</v>
      </c>
      <c r="N60" t="s">
        <v>153</v>
      </c>
    </row>
    <row r="61" spans="1:14" x14ac:dyDescent="0.25">
      <c r="A61" t="s">
        <v>60</v>
      </c>
      <c r="B61" t="s">
        <v>55</v>
      </c>
      <c r="C61" s="1">
        <v>43555</v>
      </c>
      <c r="D61" t="s">
        <v>129</v>
      </c>
      <c r="E61">
        <v>1</v>
      </c>
      <c r="F61" s="12">
        <v>214</v>
      </c>
      <c r="G61">
        <v>459</v>
      </c>
      <c r="H61" s="13">
        <v>98169.51</v>
      </c>
      <c r="I61" s="1">
        <v>43785</v>
      </c>
      <c r="J61">
        <v>11</v>
      </c>
      <c r="K61">
        <v>337</v>
      </c>
      <c r="L61">
        <v>55</v>
      </c>
      <c r="M61" t="s">
        <v>156</v>
      </c>
      <c r="N61" t="s">
        <v>154</v>
      </c>
    </row>
    <row r="62" spans="1:14" x14ac:dyDescent="0.25">
      <c r="A62" t="s">
        <v>95</v>
      </c>
      <c r="B62" t="s">
        <v>96</v>
      </c>
      <c r="C62" s="1">
        <v>43758</v>
      </c>
      <c r="D62" t="s">
        <v>129</v>
      </c>
      <c r="E62">
        <v>1</v>
      </c>
      <c r="F62" s="12">
        <v>214</v>
      </c>
      <c r="G62">
        <v>1165</v>
      </c>
      <c r="H62" s="13">
        <v>249253.51</v>
      </c>
      <c r="I62" s="1">
        <v>44277</v>
      </c>
      <c r="J62">
        <v>3</v>
      </c>
      <c r="K62">
        <v>587</v>
      </c>
      <c r="L62">
        <v>50</v>
      </c>
      <c r="M62" t="s">
        <v>163</v>
      </c>
      <c r="N62" t="s">
        <v>154</v>
      </c>
    </row>
    <row r="63" spans="1:14" x14ac:dyDescent="0.25">
      <c r="A63" t="s">
        <v>34</v>
      </c>
      <c r="B63" t="s">
        <v>30</v>
      </c>
      <c r="C63" s="1">
        <v>43765</v>
      </c>
      <c r="D63" t="s">
        <v>129</v>
      </c>
      <c r="E63">
        <v>1</v>
      </c>
      <c r="F63" s="12">
        <v>214</v>
      </c>
      <c r="G63">
        <v>254</v>
      </c>
      <c r="H63" s="13">
        <v>54299.51</v>
      </c>
      <c r="I63" s="1">
        <v>44080</v>
      </c>
      <c r="J63">
        <v>9</v>
      </c>
      <c r="K63">
        <v>573</v>
      </c>
      <c r="L63">
        <v>57</v>
      </c>
      <c r="M63" t="s">
        <v>159</v>
      </c>
      <c r="N63" t="s">
        <v>154</v>
      </c>
    </row>
    <row r="64" spans="1:14" x14ac:dyDescent="0.25">
      <c r="A64" t="s">
        <v>115</v>
      </c>
      <c r="B64" t="s">
        <v>109</v>
      </c>
      <c r="C64" s="1">
        <v>43357</v>
      </c>
      <c r="D64" t="s">
        <v>129</v>
      </c>
      <c r="E64">
        <v>1</v>
      </c>
      <c r="F64" s="12">
        <v>214</v>
      </c>
      <c r="G64">
        <v>756</v>
      </c>
      <c r="H64" s="13">
        <v>161727.51</v>
      </c>
      <c r="I64" s="1">
        <v>44419</v>
      </c>
      <c r="J64">
        <v>8</v>
      </c>
      <c r="K64">
        <v>148</v>
      </c>
      <c r="L64">
        <v>70</v>
      </c>
      <c r="M64" t="s">
        <v>165</v>
      </c>
      <c r="N64" t="s">
        <v>153</v>
      </c>
    </row>
    <row r="65" spans="1:14" x14ac:dyDescent="0.25">
      <c r="A65" t="s">
        <v>31</v>
      </c>
      <c r="B65" t="s">
        <v>27</v>
      </c>
      <c r="C65" s="1">
        <v>42433</v>
      </c>
      <c r="D65" t="s">
        <v>129</v>
      </c>
      <c r="E65">
        <v>1</v>
      </c>
      <c r="F65" s="12">
        <v>214</v>
      </c>
      <c r="G65">
        <v>1211</v>
      </c>
      <c r="H65" s="13">
        <v>259097.51</v>
      </c>
      <c r="I65" s="1">
        <v>44251</v>
      </c>
      <c r="J65">
        <v>2</v>
      </c>
      <c r="K65">
        <v>562</v>
      </c>
      <c r="L65">
        <v>63</v>
      </c>
      <c r="M65" t="s">
        <v>157</v>
      </c>
      <c r="N65" t="s">
        <v>154</v>
      </c>
    </row>
    <row r="66" spans="1:14" x14ac:dyDescent="0.25">
      <c r="A66" t="s">
        <v>33</v>
      </c>
      <c r="B66" t="s">
        <v>29</v>
      </c>
      <c r="C66" s="1">
        <v>42795</v>
      </c>
      <c r="D66" t="s">
        <v>129</v>
      </c>
      <c r="E66">
        <v>1</v>
      </c>
      <c r="F66" s="12">
        <v>214</v>
      </c>
      <c r="G66">
        <v>169</v>
      </c>
      <c r="H66" s="13">
        <v>36109.51</v>
      </c>
      <c r="I66" s="1">
        <v>44370</v>
      </c>
      <c r="J66">
        <v>6</v>
      </c>
      <c r="K66">
        <v>70</v>
      </c>
      <c r="L66">
        <v>36</v>
      </c>
      <c r="M66" t="s">
        <v>161</v>
      </c>
      <c r="N66" t="s">
        <v>154</v>
      </c>
    </row>
    <row r="67" spans="1:14" x14ac:dyDescent="0.25">
      <c r="A67" t="s">
        <v>71</v>
      </c>
      <c r="B67" t="s">
        <v>66</v>
      </c>
      <c r="C67" s="1">
        <v>43621</v>
      </c>
      <c r="D67" t="s">
        <v>129</v>
      </c>
      <c r="E67">
        <v>1</v>
      </c>
      <c r="F67" s="12">
        <v>214</v>
      </c>
      <c r="G67">
        <v>505</v>
      </c>
      <c r="H67" s="13">
        <v>108013.51</v>
      </c>
      <c r="I67" s="1">
        <v>43693</v>
      </c>
      <c r="J67">
        <v>8</v>
      </c>
      <c r="K67">
        <v>190</v>
      </c>
      <c r="L67">
        <v>24</v>
      </c>
      <c r="M67" t="s">
        <v>160</v>
      </c>
      <c r="N67" t="s">
        <v>154</v>
      </c>
    </row>
    <row r="68" spans="1:14" x14ac:dyDescent="0.25">
      <c r="A68" t="s">
        <v>115</v>
      </c>
      <c r="B68" t="s">
        <v>109</v>
      </c>
      <c r="C68" s="1">
        <v>43357</v>
      </c>
      <c r="D68" t="s">
        <v>129</v>
      </c>
      <c r="E68">
        <v>1</v>
      </c>
      <c r="F68" s="12">
        <v>214</v>
      </c>
      <c r="G68">
        <v>1528</v>
      </c>
      <c r="H68" s="13">
        <v>326935.51</v>
      </c>
      <c r="I68" s="1">
        <v>43864</v>
      </c>
      <c r="J68">
        <v>2</v>
      </c>
      <c r="K68">
        <v>130</v>
      </c>
      <c r="L68">
        <v>60</v>
      </c>
      <c r="M68" t="s">
        <v>159</v>
      </c>
      <c r="N68" t="s">
        <v>154</v>
      </c>
    </row>
    <row r="69" spans="1:14" x14ac:dyDescent="0.25">
      <c r="A69" t="s">
        <v>46</v>
      </c>
      <c r="B69" t="s">
        <v>39</v>
      </c>
      <c r="C69" s="1">
        <v>43490</v>
      </c>
      <c r="D69" t="s">
        <v>129</v>
      </c>
      <c r="E69">
        <v>1</v>
      </c>
      <c r="F69" s="12">
        <v>214</v>
      </c>
      <c r="G69">
        <v>171</v>
      </c>
      <c r="H69" s="13">
        <v>36537.51</v>
      </c>
      <c r="I69" s="1">
        <v>44154</v>
      </c>
      <c r="J69">
        <v>11</v>
      </c>
      <c r="K69">
        <v>421</v>
      </c>
      <c r="L69">
        <v>51</v>
      </c>
      <c r="M69" t="s">
        <v>156</v>
      </c>
      <c r="N69" t="s">
        <v>154</v>
      </c>
    </row>
    <row r="70" spans="1:14" x14ac:dyDescent="0.25">
      <c r="A70" t="s">
        <v>35</v>
      </c>
      <c r="B70" t="s">
        <v>3</v>
      </c>
      <c r="C70" s="1">
        <v>42465</v>
      </c>
      <c r="D70" t="s">
        <v>129</v>
      </c>
      <c r="E70">
        <v>1</v>
      </c>
      <c r="F70" s="12">
        <v>214</v>
      </c>
      <c r="G70">
        <v>1449</v>
      </c>
      <c r="H70" s="13">
        <v>310029.51</v>
      </c>
      <c r="I70" s="1">
        <v>43199</v>
      </c>
      <c r="J70">
        <v>4</v>
      </c>
      <c r="K70">
        <v>502</v>
      </c>
      <c r="L70">
        <v>55</v>
      </c>
      <c r="M70" t="s">
        <v>156</v>
      </c>
      <c r="N70" t="s">
        <v>154</v>
      </c>
    </row>
    <row r="71" spans="1:14" x14ac:dyDescent="0.25">
      <c r="A71" t="s">
        <v>35</v>
      </c>
      <c r="B71" t="s">
        <v>3</v>
      </c>
      <c r="C71" s="1">
        <v>42465</v>
      </c>
      <c r="D71" t="s">
        <v>129</v>
      </c>
      <c r="E71">
        <v>1</v>
      </c>
      <c r="F71" s="12">
        <v>214</v>
      </c>
      <c r="G71">
        <v>1897</v>
      </c>
      <c r="H71" s="13">
        <v>405901.51</v>
      </c>
      <c r="I71" s="1">
        <v>42793</v>
      </c>
      <c r="J71">
        <v>2</v>
      </c>
      <c r="K71">
        <v>177</v>
      </c>
      <c r="L71">
        <v>36</v>
      </c>
      <c r="M71" t="s">
        <v>161</v>
      </c>
      <c r="N71" t="s">
        <v>154</v>
      </c>
    </row>
    <row r="72" spans="1:14" x14ac:dyDescent="0.25">
      <c r="A72" t="s">
        <v>34</v>
      </c>
      <c r="B72" t="s">
        <v>30</v>
      </c>
      <c r="C72" s="1">
        <v>43765</v>
      </c>
      <c r="D72" t="s">
        <v>129</v>
      </c>
      <c r="E72">
        <v>1</v>
      </c>
      <c r="F72" s="12">
        <v>214</v>
      </c>
      <c r="G72">
        <v>193</v>
      </c>
      <c r="H72" s="13">
        <v>41245.51</v>
      </c>
      <c r="I72" s="1">
        <v>43792</v>
      </c>
      <c r="J72">
        <v>11</v>
      </c>
      <c r="K72">
        <v>562</v>
      </c>
      <c r="L72">
        <v>63</v>
      </c>
      <c r="M72" t="s">
        <v>157</v>
      </c>
      <c r="N72" t="s">
        <v>154</v>
      </c>
    </row>
    <row r="73" spans="1:14" x14ac:dyDescent="0.25">
      <c r="A73" t="s">
        <v>41</v>
      </c>
      <c r="B73" t="s">
        <v>36</v>
      </c>
      <c r="C73" s="1">
        <v>42880</v>
      </c>
      <c r="D73" t="s">
        <v>129</v>
      </c>
      <c r="E73">
        <v>1</v>
      </c>
      <c r="F73" s="12">
        <v>214</v>
      </c>
      <c r="G73">
        <v>725</v>
      </c>
      <c r="H73" s="13">
        <v>155093.51</v>
      </c>
      <c r="I73" s="1">
        <v>43670</v>
      </c>
      <c r="J73">
        <v>7</v>
      </c>
      <c r="K73">
        <v>398</v>
      </c>
      <c r="L73">
        <v>40</v>
      </c>
      <c r="M73" t="s">
        <v>161</v>
      </c>
      <c r="N73" t="s">
        <v>154</v>
      </c>
    </row>
    <row r="74" spans="1:14" x14ac:dyDescent="0.25">
      <c r="A74" t="s">
        <v>80</v>
      </c>
      <c r="B74" t="s">
        <v>77</v>
      </c>
      <c r="C74" s="1">
        <v>43282</v>
      </c>
      <c r="D74" t="s">
        <v>129</v>
      </c>
      <c r="E74">
        <v>1</v>
      </c>
      <c r="F74" s="12">
        <v>214</v>
      </c>
      <c r="G74">
        <v>615</v>
      </c>
      <c r="H74" s="13">
        <v>131553.51</v>
      </c>
      <c r="I74" s="1">
        <v>44451</v>
      </c>
      <c r="J74">
        <v>9</v>
      </c>
      <c r="K74">
        <v>390</v>
      </c>
      <c r="L74">
        <v>30</v>
      </c>
      <c r="M74" t="s">
        <v>158</v>
      </c>
      <c r="N74" t="s">
        <v>153</v>
      </c>
    </row>
    <row r="75" spans="1:14" x14ac:dyDescent="0.25">
      <c r="A75" t="s">
        <v>43</v>
      </c>
      <c r="B75" t="s">
        <v>37</v>
      </c>
      <c r="C75" s="1">
        <v>43490</v>
      </c>
      <c r="D75" t="s">
        <v>129</v>
      </c>
      <c r="E75">
        <v>1</v>
      </c>
      <c r="F75" s="12">
        <v>214</v>
      </c>
      <c r="G75">
        <v>1079</v>
      </c>
      <c r="H75" s="13">
        <v>230849.51</v>
      </c>
      <c r="I75" s="1">
        <v>43909</v>
      </c>
      <c r="J75">
        <v>3</v>
      </c>
      <c r="K75">
        <v>469</v>
      </c>
      <c r="L75">
        <v>57</v>
      </c>
      <c r="M75" t="s">
        <v>159</v>
      </c>
      <c r="N75" t="s">
        <v>153</v>
      </c>
    </row>
    <row r="76" spans="1:14" x14ac:dyDescent="0.25">
      <c r="A76" t="s">
        <v>105</v>
      </c>
      <c r="B76" t="s">
        <v>106</v>
      </c>
      <c r="C76" s="1">
        <v>43451</v>
      </c>
      <c r="D76" t="s">
        <v>129</v>
      </c>
      <c r="E76">
        <v>1</v>
      </c>
      <c r="F76" s="12">
        <v>214</v>
      </c>
      <c r="G76">
        <v>682</v>
      </c>
      <c r="H76" s="13">
        <v>145891.51</v>
      </c>
      <c r="I76" s="1">
        <v>44321</v>
      </c>
      <c r="J76">
        <v>5</v>
      </c>
      <c r="K76">
        <v>237</v>
      </c>
      <c r="L76">
        <v>55</v>
      </c>
      <c r="M76" t="s">
        <v>156</v>
      </c>
      <c r="N76" t="s">
        <v>154</v>
      </c>
    </row>
    <row r="77" spans="1:14" x14ac:dyDescent="0.25">
      <c r="A77" t="s">
        <v>102</v>
      </c>
      <c r="B77" t="s">
        <v>99</v>
      </c>
      <c r="C77" s="1">
        <v>43488</v>
      </c>
      <c r="D77" t="s">
        <v>129</v>
      </c>
      <c r="E77">
        <v>1</v>
      </c>
      <c r="F77" s="12">
        <v>214</v>
      </c>
      <c r="G77">
        <v>443</v>
      </c>
      <c r="H77" s="13">
        <v>94745.51</v>
      </c>
      <c r="I77" s="1">
        <v>43992</v>
      </c>
      <c r="J77">
        <v>6</v>
      </c>
      <c r="K77">
        <v>339</v>
      </c>
      <c r="L77">
        <v>67</v>
      </c>
      <c r="M77" t="s">
        <v>165</v>
      </c>
      <c r="N77" t="s">
        <v>154</v>
      </c>
    </row>
    <row r="78" spans="1:14" x14ac:dyDescent="0.25">
      <c r="A78" t="s">
        <v>52</v>
      </c>
      <c r="B78" t="s">
        <v>50</v>
      </c>
      <c r="C78" s="1">
        <v>43917</v>
      </c>
      <c r="D78" t="s">
        <v>129</v>
      </c>
      <c r="E78">
        <v>1</v>
      </c>
      <c r="F78" s="12">
        <v>214</v>
      </c>
      <c r="G78">
        <v>693</v>
      </c>
      <c r="H78" s="13">
        <v>148245.51</v>
      </c>
      <c r="I78" s="1">
        <v>43961</v>
      </c>
      <c r="J78">
        <v>5</v>
      </c>
      <c r="K78">
        <v>166</v>
      </c>
      <c r="L78">
        <v>65</v>
      </c>
      <c r="M78" t="s">
        <v>157</v>
      </c>
      <c r="N78" t="s">
        <v>154</v>
      </c>
    </row>
    <row r="79" spans="1:14" x14ac:dyDescent="0.25">
      <c r="A79" t="s">
        <v>32</v>
      </c>
      <c r="B79" t="s">
        <v>28</v>
      </c>
      <c r="C79" s="1">
        <v>43161</v>
      </c>
      <c r="D79" t="s">
        <v>129</v>
      </c>
      <c r="E79">
        <v>1</v>
      </c>
      <c r="F79" s="12">
        <v>214</v>
      </c>
      <c r="G79">
        <v>718</v>
      </c>
      <c r="H79" s="13">
        <v>153595.51</v>
      </c>
      <c r="I79" s="1">
        <v>44110</v>
      </c>
      <c r="J79">
        <v>10</v>
      </c>
      <c r="K79">
        <v>400</v>
      </c>
      <c r="L79">
        <v>60</v>
      </c>
      <c r="M79" t="s">
        <v>159</v>
      </c>
      <c r="N79" t="s">
        <v>153</v>
      </c>
    </row>
    <row r="80" spans="1:14" x14ac:dyDescent="0.25">
      <c r="A80" t="s">
        <v>31</v>
      </c>
      <c r="B80" t="s">
        <v>27</v>
      </c>
      <c r="C80" s="1">
        <v>42433</v>
      </c>
      <c r="D80" t="s">
        <v>129</v>
      </c>
      <c r="E80">
        <v>1</v>
      </c>
      <c r="F80" s="12">
        <v>214</v>
      </c>
      <c r="G80">
        <v>418</v>
      </c>
      <c r="H80" s="13">
        <v>89395.51</v>
      </c>
      <c r="I80" s="1">
        <v>43355</v>
      </c>
      <c r="J80">
        <v>9</v>
      </c>
      <c r="K80">
        <v>49</v>
      </c>
      <c r="L80">
        <v>23</v>
      </c>
      <c r="M80" t="s">
        <v>160</v>
      </c>
      <c r="N80" t="s">
        <v>154</v>
      </c>
    </row>
    <row r="81" spans="1:14" x14ac:dyDescent="0.25">
      <c r="A81" t="s">
        <v>46</v>
      </c>
      <c r="B81" t="s">
        <v>39</v>
      </c>
      <c r="C81" s="1">
        <v>43490</v>
      </c>
      <c r="D81" t="s">
        <v>129</v>
      </c>
      <c r="E81">
        <v>1</v>
      </c>
      <c r="F81" s="12">
        <v>214</v>
      </c>
      <c r="G81">
        <v>681</v>
      </c>
      <c r="H81" s="13">
        <v>145677.51</v>
      </c>
      <c r="I81" s="1">
        <v>43963</v>
      </c>
      <c r="J81">
        <v>5</v>
      </c>
      <c r="K81">
        <v>182</v>
      </c>
      <c r="L81">
        <v>55</v>
      </c>
      <c r="M81" t="s">
        <v>156</v>
      </c>
      <c r="N81" t="s">
        <v>154</v>
      </c>
    </row>
    <row r="82" spans="1:14" x14ac:dyDescent="0.25">
      <c r="A82" t="s">
        <v>47</v>
      </c>
      <c r="B82" t="s">
        <v>48</v>
      </c>
      <c r="C82" s="1">
        <v>42542</v>
      </c>
      <c r="D82" t="s">
        <v>129</v>
      </c>
      <c r="E82">
        <v>1</v>
      </c>
      <c r="F82" s="12">
        <v>214</v>
      </c>
      <c r="G82">
        <v>632</v>
      </c>
      <c r="H82" s="13">
        <v>135191.51</v>
      </c>
      <c r="I82" s="1">
        <v>44363</v>
      </c>
      <c r="J82">
        <v>6</v>
      </c>
      <c r="K82">
        <v>382</v>
      </c>
      <c r="L82">
        <v>50</v>
      </c>
      <c r="M82" t="s">
        <v>163</v>
      </c>
      <c r="N82" t="s">
        <v>154</v>
      </c>
    </row>
    <row r="83" spans="1:14" x14ac:dyDescent="0.25">
      <c r="A83" t="s">
        <v>81</v>
      </c>
      <c r="B83" t="s">
        <v>78</v>
      </c>
      <c r="C83" s="1">
        <v>43932</v>
      </c>
      <c r="D83" t="s">
        <v>129</v>
      </c>
      <c r="E83">
        <v>1</v>
      </c>
      <c r="F83" s="12">
        <v>214</v>
      </c>
      <c r="G83">
        <v>758</v>
      </c>
      <c r="H83" s="13">
        <v>162155.51</v>
      </c>
      <c r="I83" s="1">
        <v>44043</v>
      </c>
      <c r="J83">
        <v>7</v>
      </c>
      <c r="K83">
        <v>582</v>
      </c>
      <c r="L83">
        <v>59</v>
      </c>
      <c r="M83" t="s">
        <v>159</v>
      </c>
      <c r="N83" t="s">
        <v>154</v>
      </c>
    </row>
    <row r="84" spans="1:14" x14ac:dyDescent="0.25">
      <c r="A84" t="s">
        <v>102</v>
      </c>
      <c r="B84" t="s">
        <v>99</v>
      </c>
      <c r="C84" s="1">
        <v>43488</v>
      </c>
      <c r="D84" t="s">
        <v>129</v>
      </c>
      <c r="E84">
        <v>1</v>
      </c>
      <c r="F84" s="12">
        <v>214</v>
      </c>
      <c r="G84">
        <v>191</v>
      </c>
      <c r="H84" s="13">
        <v>40817.51</v>
      </c>
      <c r="I84" s="1">
        <v>44070</v>
      </c>
      <c r="J84">
        <v>8</v>
      </c>
      <c r="K84">
        <v>306</v>
      </c>
      <c r="L84">
        <v>55</v>
      </c>
      <c r="M84" t="s">
        <v>156</v>
      </c>
      <c r="N84" t="s">
        <v>154</v>
      </c>
    </row>
    <row r="85" spans="1:14" x14ac:dyDescent="0.25">
      <c r="A85" t="s">
        <v>60</v>
      </c>
      <c r="B85" t="s">
        <v>55</v>
      </c>
      <c r="C85" s="1">
        <v>43555</v>
      </c>
      <c r="D85" t="s">
        <v>129</v>
      </c>
      <c r="E85">
        <v>1</v>
      </c>
      <c r="F85" s="12">
        <v>214</v>
      </c>
      <c r="G85">
        <v>169</v>
      </c>
      <c r="H85" s="13">
        <v>36109.51</v>
      </c>
      <c r="I85" s="1">
        <v>44403</v>
      </c>
      <c r="J85">
        <v>7</v>
      </c>
      <c r="K85">
        <v>593</v>
      </c>
      <c r="L85">
        <v>62</v>
      </c>
      <c r="M85" t="s">
        <v>157</v>
      </c>
      <c r="N85" t="s">
        <v>154</v>
      </c>
    </row>
    <row r="86" spans="1:14" x14ac:dyDescent="0.25">
      <c r="A86" t="s">
        <v>118</v>
      </c>
      <c r="B86" t="s">
        <v>112</v>
      </c>
      <c r="C86" s="1">
        <v>43001</v>
      </c>
      <c r="D86" t="s">
        <v>129</v>
      </c>
      <c r="E86">
        <v>1</v>
      </c>
      <c r="F86" s="12">
        <v>214</v>
      </c>
      <c r="G86">
        <v>556</v>
      </c>
      <c r="H86" s="13">
        <v>118927.51</v>
      </c>
      <c r="I86" s="1">
        <v>44444</v>
      </c>
      <c r="J86">
        <v>9</v>
      </c>
      <c r="K86">
        <v>106</v>
      </c>
      <c r="L86">
        <v>60</v>
      </c>
      <c r="M86" t="s">
        <v>159</v>
      </c>
      <c r="N86" t="s">
        <v>154</v>
      </c>
    </row>
    <row r="87" spans="1:14" x14ac:dyDescent="0.25">
      <c r="A87" t="s">
        <v>113</v>
      </c>
      <c r="B87" t="s">
        <v>107</v>
      </c>
      <c r="C87" s="1">
        <v>43912</v>
      </c>
      <c r="D87" t="s">
        <v>129</v>
      </c>
      <c r="E87">
        <v>1</v>
      </c>
      <c r="F87" s="12">
        <v>214</v>
      </c>
      <c r="G87">
        <v>341</v>
      </c>
      <c r="H87" s="13">
        <v>72917.509999999995</v>
      </c>
      <c r="I87" s="1">
        <v>44167</v>
      </c>
      <c r="J87">
        <v>12</v>
      </c>
      <c r="K87">
        <v>592</v>
      </c>
      <c r="L87">
        <v>35</v>
      </c>
      <c r="M87" t="s">
        <v>164</v>
      </c>
      <c r="N87" t="s">
        <v>154</v>
      </c>
    </row>
    <row r="88" spans="1:14" x14ac:dyDescent="0.25">
      <c r="A88" t="s">
        <v>34</v>
      </c>
      <c r="B88" t="s">
        <v>30</v>
      </c>
      <c r="C88" s="1">
        <v>43765</v>
      </c>
      <c r="D88" t="s">
        <v>129</v>
      </c>
      <c r="E88">
        <v>1</v>
      </c>
      <c r="F88" s="12">
        <v>214</v>
      </c>
      <c r="G88">
        <v>439</v>
      </c>
      <c r="H88" s="13">
        <v>93889.51</v>
      </c>
      <c r="I88" s="1">
        <v>44013</v>
      </c>
      <c r="J88">
        <v>7</v>
      </c>
      <c r="K88">
        <v>53</v>
      </c>
      <c r="L88">
        <v>55</v>
      </c>
      <c r="M88" t="s">
        <v>156</v>
      </c>
      <c r="N88" t="s">
        <v>154</v>
      </c>
    </row>
    <row r="89" spans="1:14" x14ac:dyDescent="0.25">
      <c r="A89" t="s">
        <v>89</v>
      </c>
      <c r="B89" t="s">
        <v>85</v>
      </c>
      <c r="C89" s="1">
        <v>43093</v>
      </c>
      <c r="D89" t="s">
        <v>129</v>
      </c>
      <c r="E89">
        <v>1</v>
      </c>
      <c r="F89" s="12">
        <v>214</v>
      </c>
      <c r="G89">
        <v>1177</v>
      </c>
      <c r="H89" s="13">
        <v>251821.51</v>
      </c>
      <c r="I89" s="1">
        <v>43581</v>
      </c>
      <c r="J89">
        <v>4</v>
      </c>
      <c r="K89">
        <v>60</v>
      </c>
      <c r="L89">
        <v>36</v>
      </c>
      <c r="M89" t="s">
        <v>161</v>
      </c>
      <c r="N89" t="s">
        <v>153</v>
      </c>
    </row>
    <row r="90" spans="1:14" x14ac:dyDescent="0.25">
      <c r="A90" t="s">
        <v>93</v>
      </c>
      <c r="B90" t="s">
        <v>94</v>
      </c>
      <c r="C90" s="1">
        <v>43618</v>
      </c>
      <c r="D90" t="s">
        <v>129</v>
      </c>
      <c r="E90">
        <v>1</v>
      </c>
      <c r="F90" s="12">
        <v>214</v>
      </c>
      <c r="G90">
        <v>430</v>
      </c>
      <c r="H90" s="13">
        <v>91963.51</v>
      </c>
      <c r="I90" s="1">
        <v>44321</v>
      </c>
      <c r="J90">
        <v>5</v>
      </c>
      <c r="K90">
        <v>26</v>
      </c>
      <c r="L90">
        <v>54</v>
      </c>
      <c r="M90" t="s">
        <v>156</v>
      </c>
      <c r="N90" t="s">
        <v>154</v>
      </c>
    </row>
    <row r="91" spans="1:14" x14ac:dyDescent="0.25">
      <c r="A91" t="s">
        <v>34</v>
      </c>
      <c r="B91" t="s">
        <v>30</v>
      </c>
      <c r="C91" s="1">
        <v>43765</v>
      </c>
      <c r="D91" t="s">
        <v>129</v>
      </c>
      <c r="E91">
        <v>1</v>
      </c>
      <c r="F91" s="12">
        <v>214</v>
      </c>
      <c r="G91">
        <v>111</v>
      </c>
      <c r="H91" s="13">
        <v>23697.51</v>
      </c>
      <c r="I91" s="1">
        <v>44321</v>
      </c>
      <c r="J91">
        <v>5</v>
      </c>
      <c r="K91">
        <v>356</v>
      </c>
      <c r="L91">
        <v>58</v>
      </c>
      <c r="M91" t="s">
        <v>159</v>
      </c>
      <c r="N91" t="s">
        <v>154</v>
      </c>
    </row>
    <row r="92" spans="1:14" x14ac:dyDescent="0.25">
      <c r="A92" t="s">
        <v>52</v>
      </c>
      <c r="B92" t="s">
        <v>50</v>
      </c>
      <c r="C92" s="1">
        <v>43917</v>
      </c>
      <c r="D92" t="s">
        <v>129</v>
      </c>
      <c r="E92">
        <v>1</v>
      </c>
      <c r="F92" s="12">
        <v>214</v>
      </c>
      <c r="G92">
        <v>663</v>
      </c>
      <c r="H92" s="13">
        <v>141825.51</v>
      </c>
      <c r="I92" s="1">
        <v>44226</v>
      </c>
      <c r="J92">
        <v>1</v>
      </c>
      <c r="K92">
        <v>44</v>
      </c>
      <c r="L92">
        <v>45</v>
      </c>
      <c r="M92" t="s">
        <v>162</v>
      </c>
      <c r="N92" t="s">
        <v>154</v>
      </c>
    </row>
    <row r="93" spans="1:14" x14ac:dyDescent="0.25">
      <c r="A93" t="s">
        <v>80</v>
      </c>
      <c r="B93" t="s">
        <v>77</v>
      </c>
      <c r="C93" s="1">
        <v>43282</v>
      </c>
      <c r="D93" t="s">
        <v>129</v>
      </c>
      <c r="E93">
        <v>1</v>
      </c>
      <c r="F93" s="12">
        <v>214</v>
      </c>
      <c r="G93">
        <v>681</v>
      </c>
      <c r="H93" s="13">
        <v>145677.51</v>
      </c>
      <c r="I93" s="1">
        <v>44427</v>
      </c>
      <c r="J93">
        <v>8</v>
      </c>
      <c r="K93">
        <v>45</v>
      </c>
      <c r="L93">
        <v>43</v>
      </c>
      <c r="M93" t="s">
        <v>162</v>
      </c>
      <c r="N93" t="s">
        <v>153</v>
      </c>
    </row>
    <row r="94" spans="1:14" x14ac:dyDescent="0.25">
      <c r="A94" t="s">
        <v>73</v>
      </c>
      <c r="B94" t="s">
        <v>68</v>
      </c>
      <c r="C94" s="1">
        <v>43097</v>
      </c>
      <c r="D94" t="s">
        <v>129</v>
      </c>
      <c r="E94">
        <v>1</v>
      </c>
      <c r="F94" s="12">
        <v>214</v>
      </c>
      <c r="G94">
        <v>1627</v>
      </c>
      <c r="H94" s="13">
        <v>348121.51</v>
      </c>
      <c r="I94" s="1">
        <v>43217</v>
      </c>
      <c r="J94">
        <v>4</v>
      </c>
      <c r="K94">
        <v>37</v>
      </c>
      <c r="L94">
        <v>48</v>
      </c>
      <c r="M94" t="s">
        <v>163</v>
      </c>
      <c r="N94" t="s">
        <v>153</v>
      </c>
    </row>
    <row r="95" spans="1:14" x14ac:dyDescent="0.25">
      <c r="A95" t="s">
        <v>115</v>
      </c>
      <c r="B95" t="s">
        <v>109</v>
      </c>
      <c r="C95" s="1">
        <v>43357</v>
      </c>
      <c r="D95" t="s">
        <v>129</v>
      </c>
      <c r="E95">
        <v>1</v>
      </c>
      <c r="F95" s="12">
        <v>214</v>
      </c>
      <c r="G95">
        <v>781</v>
      </c>
      <c r="H95" s="13">
        <v>167077.51</v>
      </c>
      <c r="I95" s="1">
        <v>44012</v>
      </c>
      <c r="J95">
        <v>6</v>
      </c>
      <c r="K95">
        <v>283</v>
      </c>
      <c r="L95">
        <v>34</v>
      </c>
      <c r="M95" t="s">
        <v>164</v>
      </c>
      <c r="N95" t="s">
        <v>154</v>
      </c>
    </row>
    <row r="96" spans="1:14" x14ac:dyDescent="0.25">
      <c r="A96" t="s">
        <v>52</v>
      </c>
      <c r="B96" t="s">
        <v>50</v>
      </c>
      <c r="C96" s="1">
        <v>43917</v>
      </c>
      <c r="D96" t="s">
        <v>129</v>
      </c>
      <c r="E96">
        <v>1</v>
      </c>
      <c r="F96" s="12">
        <v>214</v>
      </c>
      <c r="G96">
        <v>439</v>
      </c>
      <c r="H96" s="13">
        <v>93889.51</v>
      </c>
      <c r="I96" s="1">
        <v>44091</v>
      </c>
      <c r="J96">
        <v>9</v>
      </c>
      <c r="K96">
        <v>337</v>
      </c>
      <c r="L96">
        <v>55</v>
      </c>
      <c r="M96" t="s">
        <v>156</v>
      </c>
      <c r="N96" t="s">
        <v>154</v>
      </c>
    </row>
    <row r="97" spans="1:14" x14ac:dyDescent="0.25">
      <c r="A97" t="s">
        <v>47</v>
      </c>
      <c r="B97" t="s">
        <v>48</v>
      </c>
      <c r="C97" s="1">
        <v>42542</v>
      </c>
      <c r="D97" t="s">
        <v>129</v>
      </c>
      <c r="E97">
        <v>1</v>
      </c>
      <c r="F97" s="12">
        <v>214</v>
      </c>
      <c r="G97">
        <v>508</v>
      </c>
      <c r="H97" s="13">
        <v>108655.51</v>
      </c>
      <c r="I97" s="1">
        <v>43449</v>
      </c>
      <c r="J97">
        <v>12</v>
      </c>
      <c r="K97">
        <v>70</v>
      </c>
      <c r="L97">
        <v>36</v>
      </c>
      <c r="M97" t="s">
        <v>161</v>
      </c>
      <c r="N97" t="s">
        <v>154</v>
      </c>
    </row>
    <row r="98" spans="1:14" x14ac:dyDescent="0.25">
      <c r="A98" t="s">
        <v>74</v>
      </c>
      <c r="B98" t="s">
        <v>69</v>
      </c>
      <c r="C98" s="1">
        <v>42228</v>
      </c>
      <c r="D98" t="s">
        <v>129</v>
      </c>
      <c r="E98">
        <v>1</v>
      </c>
      <c r="F98" s="12">
        <v>214</v>
      </c>
      <c r="G98">
        <v>1737</v>
      </c>
      <c r="H98" s="13">
        <v>371661.51</v>
      </c>
      <c r="I98" s="1">
        <v>44308</v>
      </c>
      <c r="J98">
        <v>4</v>
      </c>
      <c r="K98">
        <v>398</v>
      </c>
      <c r="L98">
        <v>40</v>
      </c>
      <c r="M98" t="s">
        <v>161</v>
      </c>
      <c r="N98" t="s">
        <v>154</v>
      </c>
    </row>
    <row r="99" spans="1:14" x14ac:dyDescent="0.25">
      <c r="A99" t="s">
        <v>72</v>
      </c>
      <c r="B99" t="s">
        <v>67</v>
      </c>
      <c r="C99" s="1">
        <v>43827</v>
      </c>
      <c r="D99" t="s">
        <v>129</v>
      </c>
      <c r="E99">
        <v>1</v>
      </c>
      <c r="F99" s="12">
        <v>214</v>
      </c>
      <c r="G99">
        <v>494</v>
      </c>
      <c r="H99" s="13">
        <v>105659.51</v>
      </c>
      <c r="I99" s="1">
        <v>44440</v>
      </c>
      <c r="J99">
        <v>9</v>
      </c>
      <c r="K99">
        <v>74</v>
      </c>
      <c r="L99">
        <v>69</v>
      </c>
      <c r="M99" t="s">
        <v>165</v>
      </c>
      <c r="N99" t="s">
        <v>154</v>
      </c>
    </row>
    <row r="100" spans="1:14" x14ac:dyDescent="0.25">
      <c r="A100" t="s">
        <v>44</v>
      </c>
      <c r="B100" t="s">
        <v>2</v>
      </c>
      <c r="C100" s="1">
        <v>42641</v>
      </c>
      <c r="D100" t="s">
        <v>129</v>
      </c>
      <c r="E100">
        <v>1</v>
      </c>
      <c r="F100" s="12">
        <v>214</v>
      </c>
      <c r="G100">
        <v>1686</v>
      </c>
      <c r="H100" s="13">
        <v>360747.51</v>
      </c>
      <c r="I100" s="1">
        <v>43180</v>
      </c>
      <c r="J100">
        <v>3</v>
      </c>
      <c r="K100">
        <v>384</v>
      </c>
      <c r="L100">
        <v>57</v>
      </c>
      <c r="M100" t="s">
        <v>159</v>
      </c>
      <c r="N100" t="s">
        <v>154</v>
      </c>
    </row>
    <row r="101" spans="1:14" x14ac:dyDescent="0.25">
      <c r="A101" t="s">
        <v>115</v>
      </c>
      <c r="B101" t="s">
        <v>109</v>
      </c>
      <c r="C101" s="1">
        <v>43357</v>
      </c>
      <c r="D101" t="s">
        <v>129</v>
      </c>
      <c r="E101">
        <v>1</v>
      </c>
      <c r="F101" s="12">
        <v>214</v>
      </c>
      <c r="G101">
        <v>332</v>
      </c>
      <c r="H101" s="13">
        <v>70991.509999999995</v>
      </c>
      <c r="I101" s="1">
        <v>44187</v>
      </c>
      <c r="J101">
        <v>12</v>
      </c>
      <c r="K101">
        <v>74</v>
      </c>
      <c r="L101">
        <v>69</v>
      </c>
      <c r="M101" t="s">
        <v>165</v>
      </c>
      <c r="N101" t="s">
        <v>154</v>
      </c>
    </row>
    <row r="102" spans="1:14" x14ac:dyDescent="0.25">
      <c r="A102" t="s">
        <v>34</v>
      </c>
      <c r="B102" t="s">
        <v>30</v>
      </c>
      <c r="C102" s="1">
        <v>43765</v>
      </c>
      <c r="D102" t="s">
        <v>129</v>
      </c>
      <c r="E102">
        <v>1</v>
      </c>
      <c r="F102" s="12">
        <v>214</v>
      </c>
      <c r="G102">
        <v>414</v>
      </c>
      <c r="H102" s="13">
        <v>88539.51</v>
      </c>
      <c r="I102" s="1">
        <v>44437</v>
      </c>
      <c r="J102">
        <v>8</v>
      </c>
      <c r="K102">
        <v>152</v>
      </c>
      <c r="L102">
        <v>60</v>
      </c>
      <c r="M102" t="s">
        <v>159</v>
      </c>
      <c r="N102" t="s">
        <v>154</v>
      </c>
    </row>
    <row r="103" spans="1:14" x14ac:dyDescent="0.25">
      <c r="A103" t="s">
        <v>31</v>
      </c>
      <c r="B103" t="s">
        <v>27</v>
      </c>
      <c r="C103" s="1">
        <v>42433</v>
      </c>
      <c r="D103" t="s">
        <v>129</v>
      </c>
      <c r="E103">
        <v>1</v>
      </c>
      <c r="F103" s="12">
        <v>214</v>
      </c>
      <c r="G103">
        <v>499</v>
      </c>
      <c r="H103" s="13">
        <v>106729.51</v>
      </c>
      <c r="I103" s="1">
        <v>42637</v>
      </c>
      <c r="J103">
        <v>9</v>
      </c>
      <c r="K103">
        <v>99</v>
      </c>
      <c r="L103">
        <v>43</v>
      </c>
      <c r="M103" t="s">
        <v>162</v>
      </c>
      <c r="N103" t="s">
        <v>154</v>
      </c>
    </row>
    <row r="104" spans="1:14" x14ac:dyDescent="0.25">
      <c r="A104" t="s">
        <v>73</v>
      </c>
      <c r="B104" t="s">
        <v>68</v>
      </c>
      <c r="C104" s="1">
        <v>43097</v>
      </c>
      <c r="D104" t="s">
        <v>129</v>
      </c>
      <c r="E104">
        <v>1</v>
      </c>
      <c r="F104" s="12">
        <v>214</v>
      </c>
      <c r="G104">
        <v>687</v>
      </c>
      <c r="H104" s="13">
        <v>146961.51</v>
      </c>
      <c r="I104" s="1">
        <v>43336</v>
      </c>
      <c r="J104">
        <v>8</v>
      </c>
      <c r="K104">
        <v>129</v>
      </c>
      <c r="L104">
        <v>20</v>
      </c>
      <c r="M104" t="s">
        <v>160</v>
      </c>
      <c r="N104" t="s">
        <v>154</v>
      </c>
    </row>
    <row r="105" spans="1:14" x14ac:dyDescent="0.25">
      <c r="A105" t="s">
        <v>82</v>
      </c>
      <c r="B105" t="s">
        <v>79</v>
      </c>
      <c r="C105" s="1">
        <v>43278</v>
      </c>
      <c r="D105" t="s">
        <v>129</v>
      </c>
      <c r="E105">
        <v>1</v>
      </c>
      <c r="F105" s="12">
        <v>214</v>
      </c>
      <c r="G105">
        <v>1252</v>
      </c>
      <c r="H105" s="13">
        <v>267871.51</v>
      </c>
      <c r="I105" s="1">
        <v>44306</v>
      </c>
      <c r="J105">
        <v>4</v>
      </c>
      <c r="K105">
        <v>279</v>
      </c>
      <c r="L105">
        <v>65</v>
      </c>
      <c r="M105" t="s">
        <v>157</v>
      </c>
      <c r="N105" t="s">
        <v>153</v>
      </c>
    </row>
    <row r="106" spans="1:14" x14ac:dyDescent="0.25">
      <c r="A106" t="s">
        <v>52</v>
      </c>
      <c r="B106" t="s">
        <v>50</v>
      </c>
      <c r="C106" s="1">
        <v>43917</v>
      </c>
      <c r="D106" t="s">
        <v>129</v>
      </c>
      <c r="E106">
        <v>1</v>
      </c>
      <c r="F106" s="12">
        <v>214</v>
      </c>
      <c r="G106">
        <v>157</v>
      </c>
      <c r="H106" s="13">
        <v>33541.51</v>
      </c>
      <c r="I106" s="1">
        <v>44038</v>
      </c>
      <c r="J106">
        <v>7</v>
      </c>
      <c r="K106">
        <v>210</v>
      </c>
      <c r="L106">
        <v>55</v>
      </c>
      <c r="M106" t="s">
        <v>156</v>
      </c>
      <c r="N106" t="s">
        <v>154</v>
      </c>
    </row>
    <row r="107" spans="1:14" x14ac:dyDescent="0.25">
      <c r="A107" t="s">
        <v>113</v>
      </c>
      <c r="B107" t="s">
        <v>107</v>
      </c>
      <c r="C107" s="1">
        <v>43912</v>
      </c>
      <c r="D107" t="s">
        <v>129</v>
      </c>
      <c r="E107">
        <v>1</v>
      </c>
      <c r="F107" s="12">
        <v>214</v>
      </c>
      <c r="G107">
        <v>624</v>
      </c>
      <c r="H107" s="13">
        <v>133479.51</v>
      </c>
      <c r="I107" s="1">
        <v>44090</v>
      </c>
      <c r="J107">
        <v>9</v>
      </c>
      <c r="K107">
        <v>245</v>
      </c>
      <c r="L107">
        <v>25</v>
      </c>
      <c r="M107" t="s">
        <v>160</v>
      </c>
      <c r="N107" t="s">
        <v>153</v>
      </c>
    </row>
    <row r="108" spans="1:14" x14ac:dyDescent="0.25">
      <c r="A108" t="s">
        <v>31</v>
      </c>
      <c r="B108" t="s">
        <v>27</v>
      </c>
      <c r="C108" s="1">
        <v>42433</v>
      </c>
      <c r="D108" t="s">
        <v>129</v>
      </c>
      <c r="E108">
        <v>1</v>
      </c>
      <c r="F108" s="12">
        <v>214</v>
      </c>
      <c r="G108">
        <v>754</v>
      </c>
      <c r="H108" s="13">
        <v>161299.51</v>
      </c>
      <c r="I108" s="1">
        <v>42927</v>
      </c>
      <c r="J108">
        <v>7</v>
      </c>
      <c r="K108">
        <v>220</v>
      </c>
      <c r="L108">
        <v>25</v>
      </c>
      <c r="M108" t="s">
        <v>160</v>
      </c>
      <c r="N108" t="s">
        <v>153</v>
      </c>
    </row>
    <row r="109" spans="1:14" x14ac:dyDescent="0.25">
      <c r="A109" t="s">
        <v>34</v>
      </c>
      <c r="B109" t="s">
        <v>30</v>
      </c>
      <c r="C109" s="1">
        <v>43765</v>
      </c>
      <c r="D109" t="s">
        <v>129</v>
      </c>
      <c r="E109">
        <v>1</v>
      </c>
      <c r="F109" s="12">
        <v>214</v>
      </c>
      <c r="G109">
        <v>583</v>
      </c>
      <c r="H109" s="13">
        <v>124705.51</v>
      </c>
      <c r="I109" s="1">
        <v>43797</v>
      </c>
      <c r="J109">
        <v>11</v>
      </c>
      <c r="K109">
        <v>433</v>
      </c>
      <c r="L109">
        <v>35</v>
      </c>
      <c r="M109" t="s">
        <v>164</v>
      </c>
      <c r="N109" t="s">
        <v>153</v>
      </c>
    </row>
    <row r="110" spans="1:14" x14ac:dyDescent="0.25">
      <c r="A110" t="s">
        <v>114</v>
      </c>
      <c r="B110" t="s">
        <v>108</v>
      </c>
      <c r="C110" s="1">
        <v>42808</v>
      </c>
      <c r="D110" t="s">
        <v>129</v>
      </c>
      <c r="E110">
        <v>1</v>
      </c>
      <c r="F110" s="12">
        <v>214</v>
      </c>
      <c r="G110">
        <v>195</v>
      </c>
      <c r="H110" s="13">
        <v>41673.51</v>
      </c>
      <c r="I110" s="1">
        <v>43987</v>
      </c>
      <c r="J110">
        <v>6</v>
      </c>
      <c r="K110">
        <v>102</v>
      </c>
      <c r="L110">
        <v>37</v>
      </c>
      <c r="M110" t="s">
        <v>161</v>
      </c>
      <c r="N110" t="s">
        <v>153</v>
      </c>
    </row>
    <row r="111" spans="1:14" x14ac:dyDescent="0.25">
      <c r="A111" t="s">
        <v>42</v>
      </c>
      <c r="B111" t="s">
        <v>1</v>
      </c>
      <c r="C111" s="1">
        <v>43712</v>
      </c>
      <c r="D111" t="s">
        <v>129</v>
      </c>
      <c r="E111">
        <v>1</v>
      </c>
      <c r="F111" s="12">
        <v>214</v>
      </c>
      <c r="G111">
        <v>597</v>
      </c>
      <c r="H111" s="13">
        <v>127701.51</v>
      </c>
      <c r="I111" s="1">
        <v>44200</v>
      </c>
      <c r="J111">
        <v>1</v>
      </c>
      <c r="K111">
        <v>514</v>
      </c>
      <c r="L111">
        <v>50</v>
      </c>
      <c r="M111" t="s">
        <v>163</v>
      </c>
      <c r="N111" t="s">
        <v>154</v>
      </c>
    </row>
    <row r="112" spans="1:14" x14ac:dyDescent="0.25">
      <c r="A112" t="s">
        <v>71</v>
      </c>
      <c r="B112" t="s">
        <v>66</v>
      </c>
      <c r="C112" s="1">
        <v>43621</v>
      </c>
      <c r="D112" t="s">
        <v>129</v>
      </c>
      <c r="E112">
        <v>1</v>
      </c>
      <c r="F112" s="12">
        <v>214</v>
      </c>
      <c r="G112">
        <v>1088</v>
      </c>
      <c r="H112" s="13">
        <v>232775.51</v>
      </c>
      <c r="I112" s="1">
        <v>43923</v>
      </c>
      <c r="J112">
        <v>4</v>
      </c>
      <c r="K112">
        <v>527</v>
      </c>
      <c r="L112">
        <v>52</v>
      </c>
      <c r="M112" t="s">
        <v>156</v>
      </c>
      <c r="N112" t="s">
        <v>154</v>
      </c>
    </row>
    <row r="113" spans="1:14" x14ac:dyDescent="0.25">
      <c r="A113" t="s">
        <v>71</v>
      </c>
      <c r="B113" t="s">
        <v>66</v>
      </c>
      <c r="C113" s="1">
        <v>43621</v>
      </c>
      <c r="D113" t="s">
        <v>129</v>
      </c>
      <c r="E113">
        <v>1</v>
      </c>
      <c r="F113" s="12">
        <v>214</v>
      </c>
      <c r="G113">
        <v>436</v>
      </c>
      <c r="H113" s="13">
        <v>93247.51</v>
      </c>
      <c r="I113" s="1">
        <v>44149</v>
      </c>
      <c r="J113">
        <v>11</v>
      </c>
      <c r="K113">
        <v>472</v>
      </c>
      <c r="L113">
        <v>52</v>
      </c>
      <c r="M113" t="s">
        <v>156</v>
      </c>
      <c r="N113" t="s">
        <v>154</v>
      </c>
    </row>
    <row r="114" spans="1:14" x14ac:dyDescent="0.25">
      <c r="A114" t="s">
        <v>45</v>
      </c>
      <c r="B114" t="s">
        <v>38</v>
      </c>
      <c r="C114" s="1">
        <v>43534</v>
      </c>
      <c r="D114" t="s">
        <v>129</v>
      </c>
      <c r="E114">
        <v>1</v>
      </c>
      <c r="F114" s="12">
        <v>214</v>
      </c>
      <c r="G114">
        <v>753</v>
      </c>
      <c r="H114" s="13">
        <v>161085.51</v>
      </c>
      <c r="I114" s="1">
        <v>43976</v>
      </c>
      <c r="J114">
        <v>5</v>
      </c>
      <c r="K114">
        <v>487</v>
      </c>
      <c r="L114">
        <v>57</v>
      </c>
      <c r="M114" t="s">
        <v>159</v>
      </c>
      <c r="N114" t="s">
        <v>153</v>
      </c>
    </row>
    <row r="115" spans="1:14" x14ac:dyDescent="0.25">
      <c r="A115" t="s">
        <v>40</v>
      </c>
      <c r="B115" t="s">
        <v>0</v>
      </c>
      <c r="C115" s="1">
        <v>43287</v>
      </c>
      <c r="D115" t="s">
        <v>129</v>
      </c>
      <c r="E115">
        <v>1</v>
      </c>
      <c r="F115" s="12">
        <v>214</v>
      </c>
      <c r="G115">
        <v>357</v>
      </c>
      <c r="H115" s="13">
        <v>76341.509999999995</v>
      </c>
      <c r="I115" s="1">
        <v>44088</v>
      </c>
      <c r="J115">
        <v>9</v>
      </c>
      <c r="K115">
        <v>589</v>
      </c>
      <c r="L115">
        <v>57</v>
      </c>
      <c r="M115" t="s">
        <v>159</v>
      </c>
      <c r="N115" t="s">
        <v>154</v>
      </c>
    </row>
    <row r="116" spans="1:14" x14ac:dyDescent="0.25">
      <c r="A116" t="s">
        <v>60</v>
      </c>
      <c r="B116" t="s">
        <v>55</v>
      </c>
      <c r="C116" s="1">
        <v>43555</v>
      </c>
      <c r="D116" t="s">
        <v>129</v>
      </c>
      <c r="E116">
        <v>1</v>
      </c>
      <c r="F116" s="12">
        <v>214</v>
      </c>
      <c r="G116">
        <v>612</v>
      </c>
      <c r="H116" s="13">
        <v>130911.51</v>
      </c>
      <c r="I116" s="1">
        <v>44383</v>
      </c>
      <c r="J116">
        <v>7</v>
      </c>
      <c r="K116">
        <v>56</v>
      </c>
      <c r="L116">
        <v>55</v>
      </c>
      <c r="M116" t="s">
        <v>156</v>
      </c>
      <c r="N116" t="s">
        <v>154</v>
      </c>
    </row>
    <row r="117" spans="1:14" x14ac:dyDescent="0.25">
      <c r="A117" t="s">
        <v>46</v>
      </c>
      <c r="B117" t="s">
        <v>39</v>
      </c>
      <c r="C117" s="1">
        <v>43490</v>
      </c>
      <c r="D117" t="s">
        <v>129</v>
      </c>
      <c r="E117">
        <v>1</v>
      </c>
      <c r="F117" s="12">
        <v>214</v>
      </c>
      <c r="G117">
        <v>316</v>
      </c>
      <c r="H117" s="13">
        <v>67567.509999999995</v>
      </c>
      <c r="I117" s="1">
        <v>44155</v>
      </c>
      <c r="J117">
        <v>11</v>
      </c>
      <c r="K117">
        <v>33</v>
      </c>
      <c r="L117">
        <v>60</v>
      </c>
      <c r="M117" t="s">
        <v>159</v>
      </c>
      <c r="N117" t="s">
        <v>154</v>
      </c>
    </row>
    <row r="118" spans="1:14" x14ac:dyDescent="0.25">
      <c r="A118" t="s">
        <v>53</v>
      </c>
      <c r="B118" t="s">
        <v>54</v>
      </c>
      <c r="C118" s="1">
        <v>42816</v>
      </c>
      <c r="D118" t="s">
        <v>129</v>
      </c>
      <c r="E118">
        <v>1</v>
      </c>
      <c r="F118" s="12">
        <v>214</v>
      </c>
      <c r="G118">
        <v>108</v>
      </c>
      <c r="H118" s="13">
        <v>23055.51</v>
      </c>
      <c r="I118" s="1">
        <v>44100</v>
      </c>
      <c r="J118">
        <v>9</v>
      </c>
      <c r="K118">
        <v>425</v>
      </c>
      <c r="L118">
        <v>28</v>
      </c>
      <c r="M118" t="s">
        <v>158</v>
      </c>
      <c r="N118" t="s">
        <v>153</v>
      </c>
    </row>
    <row r="119" spans="1:14" x14ac:dyDescent="0.25">
      <c r="A119" t="s">
        <v>53</v>
      </c>
      <c r="B119" t="s">
        <v>54</v>
      </c>
      <c r="C119" s="1">
        <v>42816</v>
      </c>
      <c r="D119" t="s">
        <v>129</v>
      </c>
      <c r="E119">
        <v>1</v>
      </c>
      <c r="F119" s="12">
        <v>214</v>
      </c>
      <c r="G119">
        <v>388</v>
      </c>
      <c r="H119" s="13">
        <v>82975.509999999995</v>
      </c>
      <c r="I119" s="1">
        <v>43443</v>
      </c>
      <c r="J119">
        <v>12</v>
      </c>
      <c r="K119">
        <v>45</v>
      </c>
      <c r="L119">
        <v>43</v>
      </c>
      <c r="M119" t="s">
        <v>162</v>
      </c>
      <c r="N119" t="s">
        <v>153</v>
      </c>
    </row>
    <row r="120" spans="1:14" x14ac:dyDescent="0.25">
      <c r="A120" t="s">
        <v>43</v>
      </c>
      <c r="B120" t="s">
        <v>37</v>
      </c>
      <c r="C120" s="1">
        <v>43490</v>
      </c>
      <c r="D120" t="s">
        <v>129</v>
      </c>
      <c r="E120">
        <v>1</v>
      </c>
      <c r="F120" s="12">
        <v>214</v>
      </c>
      <c r="G120">
        <v>192</v>
      </c>
      <c r="H120" s="13">
        <v>41031.51</v>
      </c>
      <c r="I120" s="1">
        <v>44062</v>
      </c>
      <c r="J120">
        <v>8</v>
      </c>
      <c r="K120">
        <v>531</v>
      </c>
      <c r="L120">
        <v>32</v>
      </c>
      <c r="M120" t="s">
        <v>164</v>
      </c>
      <c r="N120" t="s">
        <v>153</v>
      </c>
    </row>
    <row r="121" spans="1:14" x14ac:dyDescent="0.25">
      <c r="A121" t="s">
        <v>63</v>
      </c>
      <c r="B121" t="s">
        <v>58</v>
      </c>
      <c r="C121" s="1">
        <v>43155</v>
      </c>
      <c r="D121" t="s">
        <v>129</v>
      </c>
      <c r="E121">
        <v>1</v>
      </c>
      <c r="F121" s="12">
        <v>214</v>
      </c>
      <c r="G121">
        <v>852</v>
      </c>
      <c r="H121" s="13">
        <v>182271.51</v>
      </c>
      <c r="I121" s="1">
        <v>43909</v>
      </c>
      <c r="J121">
        <v>3</v>
      </c>
      <c r="K121">
        <v>155</v>
      </c>
      <c r="L121">
        <v>44</v>
      </c>
      <c r="M121" t="s">
        <v>162</v>
      </c>
      <c r="N121" t="s">
        <v>153</v>
      </c>
    </row>
    <row r="122" spans="1:14" x14ac:dyDescent="0.25">
      <c r="A122" t="s">
        <v>63</v>
      </c>
      <c r="B122" t="s">
        <v>58</v>
      </c>
      <c r="C122" s="1">
        <v>43155</v>
      </c>
      <c r="D122" t="s">
        <v>129</v>
      </c>
      <c r="E122">
        <v>1</v>
      </c>
      <c r="F122" s="12">
        <v>214</v>
      </c>
      <c r="G122">
        <v>643</v>
      </c>
      <c r="H122" s="13">
        <v>137545.51</v>
      </c>
      <c r="I122" s="1">
        <v>44194</v>
      </c>
      <c r="J122">
        <v>12</v>
      </c>
      <c r="K122">
        <v>368</v>
      </c>
      <c r="L122">
        <v>39</v>
      </c>
      <c r="M122" t="s">
        <v>161</v>
      </c>
      <c r="N122" t="s">
        <v>154</v>
      </c>
    </row>
    <row r="123" spans="1:14" x14ac:dyDescent="0.25">
      <c r="A123" t="s">
        <v>53</v>
      </c>
      <c r="B123" t="s">
        <v>54</v>
      </c>
      <c r="C123" s="1">
        <v>42816</v>
      </c>
      <c r="D123" t="s">
        <v>129</v>
      </c>
      <c r="E123">
        <v>1</v>
      </c>
      <c r="F123" s="12">
        <v>214</v>
      </c>
      <c r="G123">
        <v>640</v>
      </c>
      <c r="H123" s="13">
        <v>136903.51</v>
      </c>
      <c r="I123" s="1">
        <v>42928</v>
      </c>
      <c r="J123">
        <v>7</v>
      </c>
      <c r="K123">
        <v>78</v>
      </c>
      <c r="L123">
        <v>57</v>
      </c>
      <c r="M123" t="s">
        <v>159</v>
      </c>
      <c r="N123" t="s">
        <v>154</v>
      </c>
    </row>
    <row r="124" spans="1:14" x14ac:dyDescent="0.25">
      <c r="A124" t="s">
        <v>52</v>
      </c>
      <c r="B124" t="s">
        <v>50</v>
      </c>
      <c r="C124" s="1">
        <v>43917</v>
      </c>
      <c r="D124" t="s">
        <v>129</v>
      </c>
      <c r="E124">
        <v>1</v>
      </c>
      <c r="F124" s="12">
        <v>214</v>
      </c>
      <c r="G124">
        <v>669</v>
      </c>
      <c r="H124" s="13">
        <v>143109.51</v>
      </c>
      <c r="I124" s="1">
        <v>44027</v>
      </c>
      <c r="J124">
        <v>7</v>
      </c>
      <c r="K124">
        <v>463</v>
      </c>
      <c r="L124">
        <v>56</v>
      </c>
      <c r="M124" t="s">
        <v>159</v>
      </c>
      <c r="N124" t="s">
        <v>153</v>
      </c>
    </row>
    <row r="125" spans="1:14" x14ac:dyDescent="0.25">
      <c r="A125" t="s">
        <v>83</v>
      </c>
      <c r="B125" t="s">
        <v>84</v>
      </c>
      <c r="C125" s="1">
        <v>43427</v>
      </c>
      <c r="D125" t="s">
        <v>129</v>
      </c>
      <c r="E125">
        <v>1</v>
      </c>
      <c r="F125" s="12">
        <v>214</v>
      </c>
      <c r="G125">
        <v>181</v>
      </c>
      <c r="H125" s="13">
        <v>38677.51</v>
      </c>
      <c r="I125" s="1">
        <v>44433</v>
      </c>
      <c r="J125">
        <v>8</v>
      </c>
      <c r="K125">
        <v>225</v>
      </c>
      <c r="L125">
        <v>55</v>
      </c>
      <c r="M125" t="s">
        <v>156</v>
      </c>
      <c r="N125" t="s">
        <v>154</v>
      </c>
    </row>
    <row r="126" spans="1:14" x14ac:dyDescent="0.25">
      <c r="A126" t="s">
        <v>42</v>
      </c>
      <c r="B126" t="s">
        <v>1</v>
      </c>
      <c r="C126" s="1">
        <v>43712</v>
      </c>
      <c r="D126" t="s">
        <v>129</v>
      </c>
      <c r="E126">
        <v>1</v>
      </c>
      <c r="F126" s="12">
        <v>214</v>
      </c>
      <c r="G126">
        <v>730</v>
      </c>
      <c r="H126" s="13">
        <v>156163.51</v>
      </c>
      <c r="I126" s="1">
        <v>43761</v>
      </c>
      <c r="J126">
        <v>10</v>
      </c>
      <c r="K126">
        <v>198</v>
      </c>
      <c r="L126">
        <v>60</v>
      </c>
      <c r="M126" t="s">
        <v>159</v>
      </c>
      <c r="N126" t="s">
        <v>154</v>
      </c>
    </row>
    <row r="127" spans="1:14" x14ac:dyDescent="0.25">
      <c r="A127" t="s">
        <v>83</v>
      </c>
      <c r="B127" t="s">
        <v>84</v>
      </c>
      <c r="C127" s="1">
        <v>43427</v>
      </c>
      <c r="D127" t="s">
        <v>129</v>
      </c>
      <c r="E127">
        <v>1</v>
      </c>
      <c r="F127" s="12">
        <v>214</v>
      </c>
      <c r="G127">
        <v>497</v>
      </c>
      <c r="H127" s="13">
        <v>106301.51</v>
      </c>
      <c r="I127" s="1">
        <v>44070</v>
      </c>
      <c r="J127">
        <v>8</v>
      </c>
      <c r="K127">
        <v>197</v>
      </c>
      <c r="L127">
        <v>55</v>
      </c>
      <c r="M127" t="s">
        <v>156</v>
      </c>
      <c r="N127" t="s">
        <v>153</v>
      </c>
    </row>
    <row r="128" spans="1:14" x14ac:dyDescent="0.25">
      <c r="A128" t="s">
        <v>47</v>
      </c>
      <c r="B128" t="s">
        <v>48</v>
      </c>
      <c r="C128" s="1">
        <v>42542</v>
      </c>
      <c r="D128" t="s">
        <v>129</v>
      </c>
      <c r="E128">
        <v>1</v>
      </c>
      <c r="F128" s="12">
        <v>214</v>
      </c>
      <c r="G128">
        <v>533</v>
      </c>
      <c r="H128" s="13">
        <v>114005.51</v>
      </c>
      <c r="I128" s="1">
        <v>42633</v>
      </c>
      <c r="J128">
        <v>9</v>
      </c>
      <c r="K128">
        <v>540</v>
      </c>
      <c r="L128">
        <v>55</v>
      </c>
      <c r="M128" t="s">
        <v>156</v>
      </c>
      <c r="N128" t="s">
        <v>154</v>
      </c>
    </row>
    <row r="129" spans="1:14" x14ac:dyDescent="0.25">
      <c r="A129" t="s">
        <v>46</v>
      </c>
      <c r="B129" t="s">
        <v>39</v>
      </c>
      <c r="C129" s="1">
        <v>43490</v>
      </c>
      <c r="D129" t="s">
        <v>129</v>
      </c>
      <c r="E129">
        <v>1</v>
      </c>
      <c r="F129" s="12">
        <v>214</v>
      </c>
      <c r="G129">
        <v>432</v>
      </c>
      <c r="H129" s="13">
        <v>92391.51</v>
      </c>
      <c r="I129" s="1">
        <v>44107</v>
      </c>
      <c r="J129">
        <v>10</v>
      </c>
      <c r="K129">
        <v>473</v>
      </c>
      <c r="L129">
        <v>65</v>
      </c>
      <c r="M129" t="s">
        <v>157</v>
      </c>
      <c r="N129" t="s">
        <v>153</v>
      </c>
    </row>
    <row r="130" spans="1:14" x14ac:dyDescent="0.25">
      <c r="A130" t="s">
        <v>35</v>
      </c>
      <c r="B130" t="s">
        <v>3</v>
      </c>
      <c r="C130" s="1">
        <v>42465</v>
      </c>
      <c r="D130" t="s">
        <v>129</v>
      </c>
      <c r="E130">
        <v>1</v>
      </c>
      <c r="F130" s="12">
        <v>214</v>
      </c>
      <c r="G130">
        <v>1968</v>
      </c>
      <c r="H130" s="13">
        <v>421095.51</v>
      </c>
      <c r="I130" s="1">
        <v>44258</v>
      </c>
      <c r="J130">
        <v>3</v>
      </c>
      <c r="K130">
        <v>362</v>
      </c>
      <c r="L130">
        <v>22</v>
      </c>
      <c r="M130" t="s">
        <v>160</v>
      </c>
      <c r="N130" t="s">
        <v>154</v>
      </c>
    </row>
    <row r="131" spans="1:14" x14ac:dyDescent="0.25">
      <c r="A131" t="s">
        <v>46</v>
      </c>
      <c r="B131" t="s">
        <v>39</v>
      </c>
      <c r="C131" s="1">
        <v>43490</v>
      </c>
      <c r="D131" t="s">
        <v>129</v>
      </c>
      <c r="E131">
        <v>1</v>
      </c>
      <c r="F131" s="12">
        <v>214</v>
      </c>
      <c r="G131">
        <v>415</v>
      </c>
      <c r="H131" s="13">
        <v>88753.51</v>
      </c>
      <c r="I131" s="1">
        <v>44037</v>
      </c>
      <c r="J131">
        <v>7</v>
      </c>
      <c r="K131">
        <v>158</v>
      </c>
      <c r="L131">
        <v>50</v>
      </c>
      <c r="M131" t="s">
        <v>163</v>
      </c>
      <c r="N131" t="s">
        <v>154</v>
      </c>
    </row>
    <row r="132" spans="1:14" x14ac:dyDescent="0.25">
      <c r="A132" t="s">
        <v>114</v>
      </c>
      <c r="B132" t="s">
        <v>108</v>
      </c>
      <c r="C132" s="1">
        <v>42808</v>
      </c>
      <c r="D132" t="s">
        <v>129</v>
      </c>
      <c r="E132">
        <v>1</v>
      </c>
      <c r="F132" s="12">
        <v>214</v>
      </c>
      <c r="G132">
        <v>398</v>
      </c>
      <c r="H132" s="13">
        <v>85115.51</v>
      </c>
      <c r="I132" s="1">
        <v>44191</v>
      </c>
      <c r="J132">
        <v>12</v>
      </c>
      <c r="K132">
        <v>134</v>
      </c>
      <c r="L132">
        <v>43</v>
      </c>
      <c r="M132" t="s">
        <v>162</v>
      </c>
      <c r="N132" t="s">
        <v>154</v>
      </c>
    </row>
    <row r="133" spans="1:14" x14ac:dyDescent="0.25">
      <c r="A133" t="s">
        <v>118</v>
      </c>
      <c r="B133" t="s">
        <v>112</v>
      </c>
      <c r="C133" s="1">
        <v>43001</v>
      </c>
      <c r="D133" t="s">
        <v>129</v>
      </c>
      <c r="E133">
        <v>1</v>
      </c>
      <c r="F133" s="12">
        <v>214</v>
      </c>
      <c r="G133">
        <v>308</v>
      </c>
      <c r="H133" s="13">
        <v>65855.509999999995</v>
      </c>
      <c r="I133" s="1">
        <v>44148</v>
      </c>
      <c r="J133">
        <v>11</v>
      </c>
      <c r="K133">
        <v>17</v>
      </c>
      <c r="L133">
        <v>28</v>
      </c>
      <c r="M133" t="s">
        <v>158</v>
      </c>
      <c r="N133" t="s">
        <v>153</v>
      </c>
    </row>
    <row r="134" spans="1:14" x14ac:dyDescent="0.25">
      <c r="A134" t="s">
        <v>63</v>
      </c>
      <c r="B134" t="s">
        <v>58</v>
      </c>
      <c r="C134" s="1">
        <v>43155</v>
      </c>
      <c r="D134" t="s">
        <v>129</v>
      </c>
      <c r="E134">
        <v>1</v>
      </c>
      <c r="F134" s="12">
        <v>214</v>
      </c>
      <c r="G134">
        <v>761</v>
      </c>
      <c r="H134" s="13">
        <v>162797.51</v>
      </c>
      <c r="I134" s="1">
        <v>43822</v>
      </c>
      <c r="J134">
        <v>12</v>
      </c>
      <c r="K134">
        <v>215</v>
      </c>
      <c r="L134">
        <v>55</v>
      </c>
      <c r="M134" t="s">
        <v>156</v>
      </c>
      <c r="N134" t="s">
        <v>154</v>
      </c>
    </row>
    <row r="135" spans="1:14" x14ac:dyDescent="0.25">
      <c r="A135" t="s">
        <v>93</v>
      </c>
      <c r="B135" t="s">
        <v>94</v>
      </c>
      <c r="C135" s="1">
        <v>43618</v>
      </c>
      <c r="D135" t="s">
        <v>129</v>
      </c>
      <c r="E135">
        <v>1</v>
      </c>
      <c r="F135" s="12">
        <v>214</v>
      </c>
      <c r="G135">
        <v>750</v>
      </c>
      <c r="H135" s="13">
        <v>160443.51</v>
      </c>
      <c r="I135" s="1">
        <v>43735</v>
      </c>
      <c r="J135">
        <v>9</v>
      </c>
      <c r="K135">
        <v>133</v>
      </c>
      <c r="L135">
        <v>56</v>
      </c>
      <c r="M135" t="s">
        <v>159</v>
      </c>
      <c r="N135" t="s">
        <v>154</v>
      </c>
    </row>
    <row r="136" spans="1:14" x14ac:dyDescent="0.25">
      <c r="A136" t="s">
        <v>102</v>
      </c>
      <c r="B136" t="s">
        <v>99</v>
      </c>
      <c r="C136" s="1">
        <v>43488</v>
      </c>
      <c r="D136" t="s">
        <v>129</v>
      </c>
      <c r="E136">
        <v>1</v>
      </c>
      <c r="F136" s="12">
        <v>214</v>
      </c>
      <c r="G136">
        <v>333</v>
      </c>
      <c r="H136" s="13">
        <v>71205.509999999995</v>
      </c>
      <c r="I136" s="1">
        <v>44351</v>
      </c>
      <c r="J136">
        <v>6</v>
      </c>
      <c r="K136">
        <v>143</v>
      </c>
      <c r="L136">
        <v>35</v>
      </c>
      <c r="M136" t="s">
        <v>164</v>
      </c>
      <c r="N136" t="s">
        <v>153</v>
      </c>
    </row>
    <row r="137" spans="1:14" x14ac:dyDescent="0.25">
      <c r="A137" t="s">
        <v>95</v>
      </c>
      <c r="B137" t="s">
        <v>96</v>
      </c>
      <c r="C137" s="1">
        <v>43758</v>
      </c>
      <c r="D137" t="s">
        <v>129</v>
      </c>
      <c r="E137">
        <v>1</v>
      </c>
      <c r="F137" s="12">
        <v>214</v>
      </c>
      <c r="G137">
        <v>932</v>
      </c>
      <c r="H137" s="13">
        <v>199391.51</v>
      </c>
      <c r="I137" s="1">
        <v>43915</v>
      </c>
      <c r="J137">
        <v>3</v>
      </c>
      <c r="K137">
        <v>576</v>
      </c>
      <c r="L137">
        <v>52</v>
      </c>
      <c r="M137" t="s">
        <v>156</v>
      </c>
      <c r="N137" t="s">
        <v>154</v>
      </c>
    </row>
    <row r="138" spans="1:14" x14ac:dyDescent="0.25">
      <c r="A138" t="s">
        <v>51</v>
      </c>
      <c r="B138" t="s">
        <v>49</v>
      </c>
      <c r="C138" s="1">
        <v>42394</v>
      </c>
      <c r="D138" t="s">
        <v>129</v>
      </c>
      <c r="E138">
        <v>1</v>
      </c>
      <c r="F138" s="12">
        <v>214</v>
      </c>
      <c r="G138">
        <v>439</v>
      </c>
      <c r="H138" s="13">
        <v>93889.51</v>
      </c>
      <c r="I138" s="1">
        <v>42867</v>
      </c>
      <c r="J138">
        <v>5</v>
      </c>
      <c r="K138">
        <v>8</v>
      </c>
      <c r="L138">
        <v>58</v>
      </c>
      <c r="M138" t="s">
        <v>159</v>
      </c>
      <c r="N138" t="s">
        <v>154</v>
      </c>
    </row>
    <row r="139" spans="1:14" x14ac:dyDescent="0.25">
      <c r="A139" t="s">
        <v>71</v>
      </c>
      <c r="B139" t="s">
        <v>66</v>
      </c>
      <c r="C139" s="1">
        <v>43621</v>
      </c>
      <c r="D139" t="s">
        <v>129</v>
      </c>
      <c r="E139">
        <v>1</v>
      </c>
      <c r="F139" s="12">
        <v>214</v>
      </c>
      <c r="G139">
        <v>321</v>
      </c>
      <c r="H139" s="13">
        <v>68637.509999999995</v>
      </c>
      <c r="I139" s="1">
        <v>43959</v>
      </c>
      <c r="J139">
        <v>5</v>
      </c>
      <c r="K139">
        <v>482</v>
      </c>
      <c r="L139">
        <v>22</v>
      </c>
      <c r="M139" t="s">
        <v>160</v>
      </c>
      <c r="N139" t="s">
        <v>153</v>
      </c>
    </row>
    <row r="140" spans="1:14" x14ac:dyDescent="0.25">
      <c r="A140" t="s">
        <v>83</v>
      </c>
      <c r="B140" t="s">
        <v>84</v>
      </c>
      <c r="C140" s="1">
        <v>43427</v>
      </c>
      <c r="D140" t="s">
        <v>129</v>
      </c>
      <c r="E140">
        <v>1</v>
      </c>
      <c r="F140" s="12">
        <v>214</v>
      </c>
      <c r="G140">
        <v>148</v>
      </c>
      <c r="H140" s="13">
        <v>31615.51</v>
      </c>
      <c r="I140" s="1">
        <v>43443</v>
      </c>
      <c r="J140">
        <v>12</v>
      </c>
      <c r="K140">
        <v>459</v>
      </c>
      <c r="L140">
        <v>23</v>
      </c>
      <c r="M140" t="s">
        <v>160</v>
      </c>
      <c r="N140" t="s">
        <v>154</v>
      </c>
    </row>
    <row r="141" spans="1:14" x14ac:dyDescent="0.25">
      <c r="A141" t="s">
        <v>117</v>
      </c>
      <c r="B141" t="s">
        <v>111</v>
      </c>
      <c r="C141" s="1">
        <v>42729</v>
      </c>
      <c r="D141" t="s">
        <v>129</v>
      </c>
      <c r="E141">
        <v>1</v>
      </c>
      <c r="F141" s="12">
        <v>214</v>
      </c>
      <c r="G141">
        <v>592</v>
      </c>
      <c r="H141" s="13">
        <v>126631.51</v>
      </c>
      <c r="I141" s="1">
        <v>43702</v>
      </c>
      <c r="J141">
        <v>8</v>
      </c>
      <c r="K141">
        <v>510</v>
      </c>
      <c r="L141">
        <v>53</v>
      </c>
      <c r="M141" t="s">
        <v>156</v>
      </c>
      <c r="N141" t="s">
        <v>153</v>
      </c>
    </row>
    <row r="142" spans="1:14" x14ac:dyDescent="0.25">
      <c r="A142" t="s">
        <v>82</v>
      </c>
      <c r="B142" t="s">
        <v>79</v>
      </c>
      <c r="C142" s="1">
        <v>43278</v>
      </c>
      <c r="D142" t="s">
        <v>129</v>
      </c>
      <c r="E142">
        <v>1</v>
      </c>
      <c r="F142" s="12">
        <v>214</v>
      </c>
      <c r="G142">
        <v>191</v>
      </c>
      <c r="H142" s="13">
        <v>40817.51</v>
      </c>
      <c r="I142" s="1">
        <v>43336</v>
      </c>
      <c r="J142">
        <v>8</v>
      </c>
      <c r="K142">
        <v>529</v>
      </c>
      <c r="L142">
        <v>53</v>
      </c>
      <c r="M142" t="s">
        <v>156</v>
      </c>
      <c r="N142" t="s">
        <v>154</v>
      </c>
    </row>
    <row r="143" spans="1:14" x14ac:dyDescent="0.25">
      <c r="A143" t="s">
        <v>90</v>
      </c>
      <c r="B143" t="s">
        <v>86</v>
      </c>
      <c r="C143" s="1">
        <v>43995</v>
      </c>
      <c r="D143" t="s">
        <v>129</v>
      </c>
      <c r="E143">
        <v>1</v>
      </c>
      <c r="F143" s="12">
        <v>214</v>
      </c>
      <c r="G143">
        <v>624</v>
      </c>
      <c r="H143" s="13">
        <v>133479.51</v>
      </c>
      <c r="I143" s="1">
        <v>44325</v>
      </c>
      <c r="J143">
        <v>5</v>
      </c>
      <c r="K143">
        <v>578</v>
      </c>
      <c r="L143">
        <v>59</v>
      </c>
      <c r="M143" t="s">
        <v>159</v>
      </c>
      <c r="N143" t="s">
        <v>153</v>
      </c>
    </row>
    <row r="144" spans="1:14" x14ac:dyDescent="0.25">
      <c r="A144" t="s">
        <v>116</v>
      </c>
      <c r="B144" t="s">
        <v>110</v>
      </c>
      <c r="C144" s="1">
        <v>42277</v>
      </c>
      <c r="D144" t="s">
        <v>129</v>
      </c>
      <c r="E144">
        <v>1</v>
      </c>
      <c r="F144" s="12">
        <v>214</v>
      </c>
      <c r="G144">
        <v>572</v>
      </c>
      <c r="H144" s="13">
        <v>122351.51</v>
      </c>
      <c r="I144" s="1">
        <v>42564</v>
      </c>
      <c r="J144">
        <v>7</v>
      </c>
      <c r="K144">
        <v>219</v>
      </c>
      <c r="L144">
        <v>57</v>
      </c>
      <c r="M144" t="s">
        <v>159</v>
      </c>
      <c r="N144" t="s">
        <v>153</v>
      </c>
    </row>
    <row r="145" spans="1:14" x14ac:dyDescent="0.25">
      <c r="A145" t="s">
        <v>31</v>
      </c>
      <c r="B145" t="s">
        <v>27</v>
      </c>
      <c r="C145" s="1">
        <v>42433</v>
      </c>
      <c r="D145" t="s">
        <v>129</v>
      </c>
      <c r="E145">
        <v>1</v>
      </c>
      <c r="F145" s="12">
        <v>214</v>
      </c>
      <c r="G145">
        <v>1919</v>
      </c>
      <c r="H145" s="13">
        <v>410609.51</v>
      </c>
      <c r="I145" s="1">
        <v>43585</v>
      </c>
      <c r="J145">
        <v>4</v>
      </c>
      <c r="K145">
        <v>192</v>
      </c>
      <c r="L145">
        <v>60</v>
      </c>
      <c r="M145" t="s">
        <v>159</v>
      </c>
      <c r="N145" t="s">
        <v>154</v>
      </c>
    </row>
    <row r="146" spans="1:14" x14ac:dyDescent="0.25">
      <c r="A146" t="s">
        <v>95</v>
      </c>
      <c r="B146" t="s">
        <v>96</v>
      </c>
      <c r="C146" s="1">
        <v>43758</v>
      </c>
      <c r="D146" t="s">
        <v>129</v>
      </c>
      <c r="E146">
        <v>1</v>
      </c>
      <c r="F146" s="12">
        <v>214</v>
      </c>
      <c r="G146">
        <v>540</v>
      </c>
      <c r="H146" s="13">
        <v>115503.51</v>
      </c>
      <c r="I146" s="1">
        <v>44194</v>
      </c>
      <c r="J146">
        <v>12</v>
      </c>
      <c r="K146">
        <v>120</v>
      </c>
      <c r="L146">
        <v>54</v>
      </c>
      <c r="M146" t="s">
        <v>156</v>
      </c>
      <c r="N146" t="s">
        <v>154</v>
      </c>
    </row>
    <row r="147" spans="1:14" x14ac:dyDescent="0.25">
      <c r="A147" t="s">
        <v>46</v>
      </c>
      <c r="B147" t="s">
        <v>39</v>
      </c>
      <c r="C147" s="1">
        <v>43490</v>
      </c>
      <c r="D147" t="s">
        <v>129</v>
      </c>
      <c r="E147">
        <v>1</v>
      </c>
      <c r="F147" s="12">
        <v>214</v>
      </c>
      <c r="G147">
        <v>776</v>
      </c>
      <c r="H147" s="13">
        <v>166007.51</v>
      </c>
      <c r="I147" s="1">
        <v>44271</v>
      </c>
      <c r="J147">
        <v>3</v>
      </c>
      <c r="K147">
        <v>152</v>
      </c>
      <c r="L147">
        <v>60</v>
      </c>
      <c r="M147" t="s">
        <v>159</v>
      </c>
      <c r="N147" t="s">
        <v>154</v>
      </c>
    </row>
    <row r="148" spans="1:14" x14ac:dyDescent="0.25">
      <c r="A148" t="s">
        <v>81</v>
      </c>
      <c r="B148" t="s">
        <v>78</v>
      </c>
      <c r="C148" s="1">
        <v>43932</v>
      </c>
      <c r="D148" t="s">
        <v>129</v>
      </c>
      <c r="E148">
        <v>1</v>
      </c>
      <c r="F148" s="12">
        <v>214</v>
      </c>
      <c r="G148">
        <v>230</v>
      </c>
      <c r="H148" s="13">
        <v>49163.51</v>
      </c>
      <c r="I148" s="1">
        <v>44137</v>
      </c>
      <c r="J148">
        <v>11</v>
      </c>
      <c r="K148">
        <v>421</v>
      </c>
      <c r="L148">
        <v>51</v>
      </c>
      <c r="M148" t="s">
        <v>156</v>
      </c>
      <c r="N148" t="s">
        <v>154</v>
      </c>
    </row>
    <row r="149" spans="1:14" x14ac:dyDescent="0.25">
      <c r="A149" t="s">
        <v>95</v>
      </c>
      <c r="B149" t="s">
        <v>96</v>
      </c>
      <c r="C149" s="1">
        <v>43758</v>
      </c>
      <c r="D149" t="s">
        <v>129</v>
      </c>
      <c r="E149">
        <v>1</v>
      </c>
      <c r="F149" s="12">
        <v>214</v>
      </c>
      <c r="G149">
        <v>371</v>
      </c>
      <c r="H149" s="13">
        <v>79359.25</v>
      </c>
      <c r="I149" s="1">
        <v>44053</v>
      </c>
      <c r="J149">
        <v>8</v>
      </c>
      <c r="K149">
        <v>44</v>
      </c>
      <c r="L149">
        <v>45</v>
      </c>
      <c r="M149" t="s">
        <v>162</v>
      </c>
      <c r="N149" t="s">
        <v>154</v>
      </c>
    </row>
    <row r="150" spans="1:14" x14ac:dyDescent="0.25">
      <c r="A150" t="s">
        <v>61</v>
      </c>
      <c r="B150" t="s">
        <v>56</v>
      </c>
      <c r="C150" s="1">
        <v>42607</v>
      </c>
      <c r="D150" t="s">
        <v>128</v>
      </c>
      <c r="E150">
        <v>3</v>
      </c>
      <c r="F150" s="12">
        <v>104</v>
      </c>
      <c r="G150">
        <v>453</v>
      </c>
      <c r="H150" s="13">
        <v>47077.25</v>
      </c>
      <c r="I150" s="1">
        <v>43221</v>
      </c>
      <c r="J150">
        <v>5</v>
      </c>
      <c r="K150">
        <v>460</v>
      </c>
      <c r="L150">
        <v>56</v>
      </c>
      <c r="M150" t="s">
        <v>159</v>
      </c>
      <c r="N150" t="s">
        <v>154</v>
      </c>
    </row>
    <row r="151" spans="1:14" x14ac:dyDescent="0.25">
      <c r="A151" t="s">
        <v>31</v>
      </c>
      <c r="B151" t="s">
        <v>27</v>
      </c>
      <c r="C151" s="1">
        <v>42433</v>
      </c>
      <c r="D151" t="s">
        <v>128</v>
      </c>
      <c r="E151">
        <v>3</v>
      </c>
      <c r="F151" s="12">
        <v>104</v>
      </c>
      <c r="G151">
        <v>151</v>
      </c>
      <c r="H151" s="13">
        <v>15669.25</v>
      </c>
      <c r="I151" s="1">
        <v>44072</v>
      </c>
      <c r="J151">
        <v>8</v>
      </c>
      <c r="K151">
        <v>387</v>
      </c>
      <c r="L151">
        <v>46</v>
      </c>
      <c r="M151" t="s">
        <v>163</v>
      </c>
      <c r="N151" t="s">
        <v>154</v>
      </c>
    </row>
    <row r="152" spans="1:14" x14ac:dyDescent="0.25">
      <c r="A152" t="s">
        <v>31</v>
      </c>
      <c r="B152" t="s">
        <v>27</v>
      </c>
      <c r="C152" s="1">
        <v>42433</v>
      </c>
      <c r="D152" t="s">
        <v>128</v>
      </c>
      <c r="E152">
        <v>3</v>
      </c>
      <c r="F152" s="12">
        <v>104</v>
      </c>
      <c r="G152">
        <v>682</v>
      </c>
      <c r="H152" s="13">
        <v>70893.25</v>
      </c>
      <c r="I152" s="1">
        <v>43036</v>
      </c>
      <c r="J152">
        <v>10</v>
      </c>
      <c r="K152">
        <v>238</v>
      </c>
      <c r="L152">
        <v>30</v>
      </c>
      <c r="M152" t="s">
        <v>158</v>
      </c>
      <c r="N152" t="s">
        <v>154</v>
      </c>
    </row>
    <row r="153" spans="1:14" x14ac:dyDescent="0.25">
      <c r="A153" t="s">
        <v>32</v>
      </c>
      <c r="B153" t="s">
        <v>28</v>
      </c>
      <c r="C153" s="1">
        <v>43161</v>
      </c>
      <c r="D153" t="s">
        <v>128</v>
      </c>
      <c r="E153">
        <v>3</v>
      </c>
      <c r="F153" s="12">
        <v>104</v>
      </c>
      <c r="G153">
        <v>280</v>
      </c>
      <c r="H153" s="13">
        <v>29085.25</v>
      </c>
      <c r="I153" s="1">
        <v>43772</v>
      </c>
      <c r="J153">
        <v>11</v>
      </c>
      <c r="K153">
        <v>401</v>
      </c>
      <c r="L153">
        <v>54</v>
      </c>
      <c r="M153" t="s">
        <v>156</v>
      </c>
      <c r="N153" t="s">
        <v>154</v>
      </c>
    </row>
    <row r="154" spans="1:14" x14ac:dyDescent="0.25">
      <c r="A154" t="s">
        <v>80</v>
      </c>
      <c r="B154" t="s">
        <v>77</v>
      </c>
      <c r="C154" s="1">
        <v>43282</v>
      </c>
      <c r="D154" t="s">
        <v>128</v>
      </c>
      <c r="E154">
        <v>3</v>
      </c>
      <c r="F154" s="12">
        <v>104</v>
      </c>
      <c r="G154">
        <v>1687</v>
      </c>
      <c r="H154" s="13">
        <v>175413.25</v>
      </c>
      <c r="I154" s="1">
        <v>44282</v>
      </c>
      <c r="J154">
        <v>3</v>
      </c>
      <c r="K154">
        <v>141</v>
      </c>
      <c r="L154">
        <v>38</v>
      </c>
      <c r="M154" t="s">
        <v>161</v>
      </c>
      <c r="N154" t="s">
        <v>153</v>
      </c>
    </row>
    <row r="155" spans="1:14" x14ac:dyDescent="0.25">
      <c r="A155" t="s">
        <v>63</v>
      </c>
      <c r="B155" t="s">
        <v>58</v>
      </c>
      <c r="C155" s="1">
        <v>43155</v>
      </c>
      <c r="D155" t="s">
        <v>128</v>
      </c>
      <c r="E155">
        <v>3</v>
      </c>
      <c r="F155" s="12">
        <v>104</v>
      </c>
      <c r="G155">
        <v>215</v>
      </c>
      <c r="H155" s="13">
        <v>22325.25</v>
      </c>
      <c r="I155" s="1">
        <v>43331</v>
      </c>
      <c r="J155">
        <v>8</v>
      </c>
      <c r="K155">
        <v>260</v>
      </c>
      <c r="L155">
        <v>42</v>
      </c>
      <c r="M155" t="s">
        <v>162</v>
      </c>
      <c r="N155" t="s">
        <v>154</v>
      </c>
    </row>
    <row r="156" spans="1:14" x14ac:dyDescent="0.25">
      <c r="A156" t="s">
        <v>116</v>
      </c>
      <c r="B156" t="s">
        <v>110</v>
      </c>
      <c r="C156" s="1">
        <v>42277</v>
      </c>
      <c r="D156" t="s">
        <v>128</v>
      </c>
      <c r="E156">
        <v>3</v>
      </c>
      <c r="F156" s="12">
        <v>104</v>
      </c>
      <c r="G156">
        <v>983</v>
      </c>
      <c r="H156" s="13">
        <v>102197.25</v>
      </c>
      <c r="I156" s="1">
        <v>43152</v>
      </c>
      <c r="J156">
        <v>2</v>
      </c>
      <c r="K156">
        <v>353</v>
      </c>
      <c r="L156">
        <v>57</v>
      </c>
      <c r="M156" t="s">
        <v>159</v>
      </c>
      <c r="N156" t="s">
        <v>153</v>
      </c>
    </row>
    <row r="157" spans="1:14" x14ac:dyDescent="0.25">
      <c r="A157" t="s">
        <v>118</v>
      </c>
      <c r="B157" t="s">
        <v>112</v>
      </c>
      <c r="C157" s="1">
        <v>43001</v>
      </c>
      <c r="D157" t="s">
        <v>128</v>
      </c>
      <c r="E157">
        <v>3</v>
      </c>
      <c r="F157" s="12">
        <v>104</v>
      </c>
      <c r="G157">
        <v>746</v>
      </c>
      <c r="H157" s="13">
        <v>77549.25</v>
      </c>
      <c r="I157" s="1">
        <v>44097</v>
      </c>
      <c r="J157">
        <v>9</v>
      </c>
      <c r="K157">
        <v>350</v>
      </c>
      <c r="L157">
        <v>42</v>
      </c>
      <c r="M157" t="s">
        <v>162</v>
      </c>
      <c r="N157" t="s">
        <v>154</v>
      </c>
    </row>
    <row r="158" spans="1:14" x14ac:dyDescent="0.25">
      <c r="A158" t="s">
        <v>51</v>
      </c>
      <c r="B158" t="s">
        <v>49</v>
      </c>
      <c r="C158" s="1">
        <v>42394</v>
      </c>
      <c r="D158" t="s">
        <v>128</v>
      </c>
      <c r="E158">
        <v>3</v>
      </c>
      <c r="F158" s="12">
        <v>104</v>
      </c>
      <c r="G158">
        <v>758</v>
      </c>
      <c r="H158" s="13">
        <v>78797.25</v>
      </c>
      <c r="I158" s="1">
        <v>44170</v>
      </c>
      <c r="J158">
        <v>12</v>
      </c>
      <c r="K158">
        <v>27</v>
      </c>
      <c r="L158">
        <v>56</v>
      </c>
      <c r="M158" t="s">
        <v>159</v>
      </c>
      <c r="N158" t="s">
        <v>154</v>
      </c>
    </row>
    <row r="159" spans="1:14" x14ac:dyDescent="0.25">
      <c r="A159" t="s">
        <v>71</v>
      </c>
      <c r="B159" t="s">
        <v>66</v>
      </c>
      <c r="C159" s="1">
        <v>43621</v>
      </c>
      <c r="D159" t="s">
        <v>128</v>
      </c>
      <c r="E159">
        <v>3</v>
      </c>
      <c r="F159" s="12">
        <v>104</v>
      </c>
      <c r="G159">
        <v>1513</v>
      </c>
      <c r="H159" s="13">
        <v>157317.25</v>
      </c>
      <c r="I159" s="1">
        <v>43941</v>
      </c>
      <c r="J159">
        <v>4</v>
      </c>
      <c r="K159">
        <v>153</v>
      </c>
      <c r="L159">
        <v>50</v>
      </c>
      <c r="M159" t="s">
        <v>163</v>
      </c>
      <c r="N159" t="s">
        <v>153</v>
      </c>
    </row>
    <row r="160" spans="1:14" x14ac:dyDescent="0.25">
      <c r="A160" t="s">
        <v>64</v>
      </c>
      <c r="B160" t="s">
        <v>59</v>
      </c>
      <c r="C160" s="1">
        <v>43153</v>
      </c>
      <c r="D160" t="s">
        <v>128</v>
      </c>
      <c r="E160">
        <v>3</v>
      </c>
      <c r="F160" s="12">
        <v>104</v>
      </c>
      <c r="G160">
        <v>1019</v>
      </c>
      <c r="H160" s="13">
        <v>105941.25</v>
      </c>
      <c r="I160" s="1">
        <v>43941</v>
      </c>
      <c r="J160">
        <v>4</v>
      </c>
      <c r="K160">
        <v>57</v>
      </c>
      <c r="L160">
        <v>59</v>
      </c>
      <c r="M160" t="s">
        <v>159</v>
      </c>
      <c r="N160" t="s">
        <v>154</v>
      </c>
    </row>
    <row r="161" spans="1:14" x14ac:dyDescent="0.25">
      <c r="A161" t="s">
        <v>70</v>
      </c>
      <c r="B161" t="s">
        <v>65</v>
      </c>
      <c r="C161" s="1">
        <v>43523</v>
      </c>
      <c r="D161" t="s">
        <v>128</v>
      </c>
      <c r="E161">
        <v>3</v>
      </c>
      <c r="F161" s="12">
        <v>104</v>
      </c>
      <c r="G161">
        <v>168</v>
      </c>
      <c r="H161" s="13">
        <v>17437.25</v>
      </c>
      <c r="I161" s="1">
        <v>43675</v>
      </c>
      <c r="J161">
        <v>7</v>
      </c>
      <c r="K161">
        <v>4</v>
      </c>
      <c r="L161">
        <v>50</v>
      </c>
      <c r="M161" t="s">
        <v>163</v>
      </c>
      <c r="N161" t="s">
        <v>154</v>
      </c>
    </row>
    <row r="162" spans="1:14" x14ac:dyDescent="0.25">
      <c r="A162" t="s">
        <v>89</v>
      </c>
      <c r="B162" t="s">
        <v>85</v>
      </c>
      <c r="C162" s="1">
        <v>43093</v>
      </c>
      <c r="D162" t="s">
        <v>128</v>
      </c>
      <c r="E162">
        <v>3</v>
      </c>
      <c r="F162" s="12">
        <v>104</v>
      </c>
      <c r="G162">
        <v>419</v>
      </c>
      <c r="H162" s="13">
        <v>43541.25</v>
      </c>
      <c r="I162" s="1">
        <v>43249</v>
      </c>
      <c r="J162">
        <v>5</v>
      </c>
      <c r="K162">
        <v>553</v>
      </c>
      <c r="L162">
        <v>49</v>
      </c>
      <c r="M162" t="s">
        <v>163</v>
      </c>
      <c r="N162" t="s">
        <v>154</v>
      </c>
    </row>
    <row r="163" spans="1:14" x14ac:dyDescent="0.25">
      <c r="A163" t="s">
        <v>44</v>
      </c>
      <c r="B163" t="s">
        <v>2</v>
      </c>
      <c r="C163" s="1">
        <v>42641</v>
      </c>
      <c r="D163" t="s">
        <v>128</v>
      </c>
      <c r="E163">
        <v>3</v>
      </c>
      <c r="F163" s="12">
        <v>104</v>
      </c>
      <c r="G163">
        <v>947</v>
      </c>
      <c r="H163" s="13">
        <v>98453.25</v>
      </c>
      <c r="I163" s="1">
        <v>42837</v>
      </c>
      <c r="J163">
        <v>4</v>
      </c>
      <c r="K163">
        <v>455</v>
      </c>
      <c r="L163">
        <v>31</v>
      </c>
      <c r="M163" t="s">
        <v>164</v>
      </c>
      <c r="N163" t="s">
        <v>154</v>
      </c>
    </row>
    <row r="164" spans="1:14" x14ac:dyDescent="0.25">
      <c r="A164" t="s">
        <v>105</v>
      </c>
      <c r="B164" t="s">
        <v>106</v>
      </c>
      <c r="C164" s="1">
        <v>43451</v>
      </c>
      <c r="D164" t="s">
        <v>128</v>
      </c>
      <c r="E164">
        <v>3</v>
      </c>
      <c r="F164" s="12">
        <v>104</v>
      </c>
      <c r="G164">
        <v>563</v>
      </c>
      <c r="H164" s="13">
        <v>58517.25</v>
      </c>
      <c r="I164" s="1">
        <v>43699</v>
      </c>
      <c r="J164">
        <v>8</v>
      </c>
      <c r="K164">
        <v>221</v>
      </c>
      <c r="L164">
        <v>35</v>
      </c>
      <c r="M164" t="s">
        <v>164</v>
      </c>
      <c r="N164" t="s">
        <v>153</v>
      </c>
    </row>
    <row r="165" spans="1:14" x14ac:dyDescent="0.25">
      <c r="A165" t="s">
        <v>51</v>
      </c>
      <c r="B165" t="s">
        <v>49</v>
      </c>
      <c r="C165" s="1">
        <v>42394</v>
      </c>
      <c r="D165" t="s">
        <v>128</v>
      </c>
      <c r="E165">
        <v>3</v>
      </c>
      <c r="F165" s="12">
        <v>104</v>
      </c>
      <c r="G165">
        <v>749</v>
      </c>
      <c r="H165" s="13">
        <v>77861.25</v>
      </c>
      <c r="I165" s="1">
        <v>43684</v>
      </c>
      <c r="J165">
        <v>8</v>
      </c>
      <c r="K165">
        <v>338</v>
      </c>
      <c r="L165">
        <v>37</v>
      </c>
      <c r="M165" t="s">
        <v>161</v>
      </c>
      <c r="N165" t="s">
        <v>153</v>
      </c>
    </row>
    <row r="166" spans="1:14" x14ac:dyDescent="0.25">
      <c r="A166" t="s">
        <v>45</v>
      </c>
      <c r="B166" t="s">
        <v>38</v>
      </c>
      <c r="C166" s="1">
        <v>43534</v>
      </c>
      <c r="D166" t="s">
        <v>128</v>
      </c>
      <c r="E166">
        <v>3</v>
      </c>
      <c r="F166" s="12">
        <v>104</v>
      </c>
      <c r="G166">
        <v>1376</v>
      </c>
      <c r="H166" s="13">
        <v>143069.25</v>
      </c>
      <c r="I166" s="1">
        <v>44309</v>
      </c>
      <c r="J166">
        <v>4</v>
      </c>
      <c r="K166">
        <v>314</v>
      </c>
      <c r="L166">
        <v>60</v>
      </c>
      <c r="M166" t="s">
        <v>159</v>
      </c>
      <c r="N166" t="s">
        <v>154</v>
      </c>
    </row>
    <row r="167" spans="1:14" x14ac:dyDescent="0.25">
      <c r="A167" t="s">
        <v>43</v>
      </c>
      <c r="B167" t="s">
        <v>37</v>
      </c>
      <c r="C167" s="1">
        <v>43490</v>
      </c>
      <c r="D167" t="s">
        <v>128</v>
      </c>
      <c r="E167">
        <v>3</v>
      </c>
      <c r="F167" s="12">
        <v>104</v>
      </c>
      <c r="G167">
        <v>784</v>
      </c>
      <c r="H167" s="13">
        <v>81501.25</v>
      </c>
      <c r="I167" s="1">
        <v>44416</v>
      </c>
      <c r="J167">
        <v>8</v>
      </c>
      <c r="K167">
        <v>363</v>
      </c>
      <c r="L167">
        <v>52</v>
      </c>
      <c r="M167" t="s">
        <v>156</v>
      </c>
      <c r="N167" t="s">
        <v>154</v>
      </c>
    </row>
    <row r="168" spans="1:14" x14ac:dyDescent="0.25">
      <c r="A168" t="s">
        <v>92</v>
      </c>
      <c r="B168" t="s">
        <v>88</v>
      </c>
      <c r="C168" s="1">
        <v>42660</v>
      </c>
      <c r="D168" t="s">
        <v>128</v>
      </c>
      <c r="E168">
        <v>3</v>
      </c>
      <c r="F168" s="12">
        <v>104</v>
      </c>
      <c r="G168">
        <v>345</v>
      </c>
      <c r="H168" s="13">
        <v>35845.25</v>
      </c>
      <c r="I168" s="1">
        <v>42999</v>
      </c>
      <c r="J168">
        <v>9</v>
      </c>
      <c r="K168">
        <v>119</v>
      </c>
      <c r="L168">
        <v>59</v>
      </c>
      <c r="M168" t="s">
        <v>159</v>
      </c>
      <c r="N168" t="s">
        <v>154</v>
      </c>
    </row>
    <row r="169" spans="1:14" x14ac:dyDescent="0.25">
      <c r="A169" t="s">
        <v>45</v>
      </c>
      <c r="B169" t="s">
        <v>38</v>
      </c>
      <c r="C169" s="1">
        <v>43534</v>
      </c>
      <c r="D169" t="s">
        <v>128</v>
      </c>
      <c r="E169">
        <v>3</v>
      </c>
      <c r="F169" s="12">
        <v>104</v>
      </c>
      <c r="G169">
        <v>1430</v>
      </c>
      <c r="H169" s="13">
        <v>148685.25</v>
      </c>
      <c r="I169" s="1">
        <v>43901</v>
      </c>
      <c r="J169">
        <v>3</v>
      </c>
      <c r="K169">
        <v>263</v>
      </c>
      <c r="L169">
        <v>45</v>
      </c>
      <c r="M169" t="s">
        <v>162</v>
      </c>
      <c r="N169" t="s">
        <v>154</v>
      </c>
    </row>
    <row r="170" spans="1:14" x14ac:dyDescent="0.25">
      <c r="A170" t="s">
        <v>34</v>
      </c>
      <c r="B170" t="s">
        <v>30</v>
      </c>
      <c r="C170" s="1">
        <v>43765</v>
      </c>
      <c r="D170" t="s">
        <v>128</v>
      </c>
      <c r="E170">
        <v>3</v>
      </c>
      <c r="F170" s="12">
        <v>104</v>
      </c>
      <c r="G170">
        <v>1945</v>
      </c>
      <c r="H170" s="13">
        <v>202245.25</v>
      </c>
      <c r="I170" s="1">
        <v>44260</v>
      </c>
      <c r="J170">
        <v>3</v>
      </c>
      <c r="K170">
        <v>281</v>
      </c>
      <c r="L170">
        <v>20</v>
      </c>
      <c r="M170" t="s">
        <v>160</v>
      </c>
      <c r="N170" t="s">
        <v>153</v>
      </c>
    </row>
    <row r="171" spans="1:14" x14ac:dyDescent="0.25">
      <c r="A171" t="s">
        <v>62</v>
      </c>
      <c r="B171" t="s">
        <v>57</v>
      </c>
      <c r="C171" s="1">
        <v>43724</v>
      </c>
      <c r="D171" t="s">
        <v>128</v>
      </c>
      <c r="E171">
        <v>3</v>
      </c>
      <c r="F171" s="12">
        <v>104</v>
      </c>
      <c r="G171">
        <v>108</v>
      </c>
      <c r="H171" s="13">
        <v>11197.25</v>
      </c>
      <c r="I171" s="1">
        <v>44081</v>
      </c>
      <c r="J171">
        <v>9</v>
      </c>
      <c r="K171">
        <v>218</v>
      </c>
      <c r="L171">
        <v>47</v>
      </c>
      <c r="M171" t="s">
        <v>163</v>
      </c>
      <c r="N171" t="s">
        <v>154</v>
      </c>
    </row>
    <row r="172" spans="1:14" x14ac:dyDescent="0.25">
      <c r="A172" t="s">
        <v>103</v>
      </c>
      <c r="B172" t="s">
        <v>100</v>
      </c>
      <c r="C172" s="1">
        <v>42080</v>
      </c>
      <c r="D172" t="s">
        <v>128</v>
      </c>
      <c r="E172">
        <v>3</v>
      </c>
      <c r="F172" s="12">
        <v>104</v>
      </c>
      <c r="G172">
        <v>530</v>
      </c>
      <c r="H172" s="13">
        <v>55085.25</v>
      </c>
      <c r="I172" s="1">
        <v>43721</v>
      </c>
      <c r="J172">
        <v>9</v>
      </c>
      <c r="K172">
        <v>517</v>
      </c>
      <c r="L172">
        <v>64</v>
      </c>
      <c r="M172" t="s">
        <v>157</v>
      </c>
      <c r="N172" t="s">
        <v>154</v>
      </c>
    </row>
    <row r="173" spans="1:14" x14ac:dyDescent="0.25">
      <c r="A173" t="s">
        <v>117</v>
      </c>
      <c r="B173" t="s">
        <v>111</v>
      </c>
      <c r="C173" s="1">
        <v>42729</v>
      </c>
      <c r="D173" t="s">
        <v>128</v>
      </c>
      <c r="E173">
        <v>3</v>
      </c>
      <c r="F173" s="12">
        <v>104</v>
      </c>
      <c r="G173">
        <v>645</v>
      </c>
      <c r="H173" s="13">
        <v>67045.25</v>
      </c>
      <c r="I173" s="1">
        <v>44251</v>
      </c>
      <c r="J173">
        <v>2</v>
      </c>
      <c r="K173">
        <v>182</v>
      </c>
      <c r="L173">
        <v>55</v>
      </c>
      <c r="M173" t="s">
        <v>156</v>
      </c>
      <c r="N173" t="s">
        <v>154</v>
      </c>
    </row>
    <row r="174" spans="1:14" x14ac:dyDescent="0.25">
      <c r="A174" t="s">
        <v>40</v>
      </c>
      <c r="B174" t="s">
        <v>0</v>
      </c>
      <c r="C174" s="1">
        <v>43287</v>
      </c>
      <c r="D174" t="s">
        <v>128</v>
      </c>
      <c r="E174">
        <v>3</v>
      </c>
      <c r="F174" s="12">
        <v>104</v>
      </c>
      <c r="G174">
        <v>226</v>
      </c>
      <c r="H174" s="13">
        <v>23469.25</v>
      </c>
      <c r="I174" s="1">
        <v>43594</v>
      </c>
      <c r="J174">
        <v>5</v>
      </c>
      <c r="K174">
        <v>402</v>
      </c>
      <c r="L174">
        <v>57</v>
      </c>
      <c r="M174" t="s">
        <v>159</v>
      </c>
      <c r="N174" t="s">
        <v>154</v>
      </c>
    </row>
    <row r="175" spans="1:14" x14ac:dyDescent="0.25">
      <c r="A175" t="s">
        <v>117</v>
      </c>
      <c r="B175" t="s">
        <v>111</v>
      </c>
      <c r="C175" s="1">
        <v>42729</v>
      </c>
      <c r="D175" t="s">
        <v>128</v>
      </c>
      <c r="E175">
        <v>3</v>
      </c>
      <c r="F175" s="12">
        <v>104</v>
      </c>
      <c r="G175">
        <v>1364</v>
      </c>
      <c r="H175" s="13">
        <v>141821.25</v>
      </c>
      <c r="I175" s="1">
        <v>43157</v>
      </c>
      <c r="J175">
        <v>2</v>
      </c>
      <c r="K175">
        <v>168</v>
      </c>
      <c r="L175">
        <v>38</v>
      </c>
      <c r="M175" t="s">
        <v>161</v>
      </c>
      <c r="N175" t="s">
        <v>153</v>
      </c>
    </row>
    <row r="176" spans="1:14" x14ac:dyDescent="0.25">
      <c r="A176" t="s">
        <v>42</v>
      </c>
      <c r="B176" t="s">
        <v>1</v>
      </c>
      <c r="C176" s="1">
        <v>43712</v>
      </c>
      <c r="D176" t="s">
        <v>128</v>
      </c>
      <c r="E176">
        <v>3</v>
      </c>
      <c r="F176" s="12">
        <v>104</v>
      </c>
      <c r="G176">
        <v>1092</v>
      </c>
      <c r="H176" s="13">
        <v>113533.25</v>
      </c>
      <c r="I176" s="1">
        <v>44271</v>
      </c>
      <c r="J176">
        <v>3</v>
      </c>
      <c r="K176">
        <v>33</v>
      </c>
      <c r="L176">
        <v>60</v>
      </c>
      <c r="M176" t="s">
        <v>159</v>
      </c>
      <c r="N176" t="s">
        <v>154</v>
      </c>
    </row>
    <row r="177" spans="1:14" x14ac:dyDescent="0.25">
      <c r="A177" t="s">
        <v>42</v>
      </c>
      <c r="B177" t="s">
        <v>1</v>
      </c>
      <c r="C177" s="1">
        <v>43712</v>
      </c>
      <c r="D177" t="s">
        <v>128</v>
      </c>
      <c r="E177">
        <v>3</v>
      </c>
      <c r="F177" s="12">
        <v>104</v>
      </c>
      <c r="G177">
        <v>681</v>
      </c>
      <c r="H177" s="13">
        <v>70789.25</v>
      </c>
      <c r="I177" s="1">
        <v>44393</v>
      </c>
      <c r="J177">
        <v>7</v>
      </c>
      <c r="K177">
        <v>265</v>
      </c>
      <c r="L177">
        <v>56</v>
      </c>
      <c r="M177" t="s">
        <v>159</v>
      </c>
      <c r="N177" t="s">
        <v>154</v>
      </c>
    </row>
    <row r="178" spans="1:14" x14ac:dyDescent="0.25">
      <c r="A178" t="s">
        <v>114</v>
      </c>
      <c r="B178" t="s">
        <v>108</v>
      </c>
      <c r="C178" s="1">
        <v>42808</v>
      </c>
      <c r="D178" t="s">
        <v>128</v>
      </c>
      <c r="E178">
        <v>3</v>
      </c>
      <c r="F178" s="12">
        <v>104</v>
      </c>
      <c r="G178">
        <v>221</v>
      </c>
      <c r="H178" s="13">
        <v>22949.25</v>
      </c>
      <c r="I178" s="1">
        <v>42861</v>
      </c>
      <c r="J178">
        <v>5</v>
      </c>
      <c r="K178">
        <v>557</v>
      </c>
      <c r="L178">
        <v>35</v>
      </c>
      <c r="M178" t="s">
        <v>164</v>
      </c>
      <c r="N178" t="s">
        <v>154</v>
      </c>
    </row>
    <row r="179" spans="1:14" x14ac:dyDescent="0.25">
      <c r="A179" t="s">
        <v>34</v>
      </c>
      <c r="B179" t="s">
        <v>30</v>
      </c>
      <c r="C179" s="1">
        <v>43765</v>
      </c>
      <c r="D179" t="s">
        <v>128</v>
      </c>
      <c r="E179">
        <v>3</v>
      </c>
      <c r="F179" s="12">
        <v>104</v>
      </c>
      <c r="G179">
        <v>646</v>
      </c>
      <c r="H179" s="13">
        <v>67149.25</v>
      </c>
      <c r="I179" s="1">
        <v>44157</v>
      </c>
      <c r="J179">
        <v>11</v>
      </c>
      <c r="K179">
        <v>145</v>
      </c>
      <c r="L179">
        <v>55</v>
      </c>
      <c r="M179" t="s">
        <v>156</v>
      </c>
      <c r="N179" t="s">
        <v>154</v>
      </c>
    </row>
    <row r="180" spans="1:14" x14ac:dyDescent="0.25">
      <c r="A180" t="s">
        <v>113</v>
      </c>
      <c r="B180" t="s">
        <v>107</v>
      </c>
      <c r="C180" s="1">
        <v>43912</v>
      </c>
      <c r="D180" t="s">
        <v>128</v>
      </c>
      <c r="E180">
        <v>3</v>
      </c>
      <c r="F180" s="12">
        <v>104</v>
      </c>
      <c r="G180">
        <v>1319</v>
      </c>
      <c r="H180" s="13">
        <v>137141.25</v>
      </c>
      <c r="I180" s="1">
        <v>44294</v>
      </c>
      <c r="J180">
        <v>4</v>
      </c>
      <c r="K180">
        <v>506</v>
      </c>
      <c r="L180">
        <v>52</v>
      </c>
      <c r="M180" t="s">
        <v>156</v>
      </c>
      <c r="N180" t="s">
        <v>154</v>
      </c>
    </row>
    <row r="181" spans="1:14" x14ac:dyDescent="0.25">
      <c r="A181" t="s">
        <v>93</v>
      </c>
      <c r="B181" t="s">
        <v>94</v>
      </c>
      <c r="C181" s="1">
        <v>43618</v>
      </c>
      <c r="D181" t="s">
        <v>128</v>
      </c>
      <c r="E181">
        <v>3</v>
      </c>
      <c r="F181" s="12">
        <v>104</v>
      </c>
      <c r="G181">
        <v>681</v>
      </c>
      <c r="H181" s="13">
        <v>70789.25</v>
      </c>
      <c r="I181" s="1">
        <v>44205</v>
      </c>
      <c r="J181">
        <v>1</v>
      </c>
      <c r="K181">
        <v>327</v>
      </c>
      <c r="L181">
        <v>60</v>
      </c>
      <c r="M181" t="s">
        <v>159</v>
      </c>
      <c r="N181" t="s">
        <v>154</v>
      </c>
    </row>
    <row r="182" spans="1:14" x14ac:dyDescent="0.25">
      <c r="A182" t="s">
        <v>114</v>
      </c>
      <c r="B182" t="s">
        <v>108</v>
      </c>
      <c r="C182" s="1">
        <v>42808</v>
      </c>
      <c r="D182" t="s">
        <v>128</v>
      </c>
      <c r="E182">
        <v>3</v>
      </c>
      <c r="F182" s="12">
        <v>104</v>
      </c>
      <c r="G182">
        <v>149</v>
      </c>
      <c r="H182" s="13">
        <v>15461.25</v>
      </c>
      <c r="I182" s="1">
        <v>43658</v>
      </c>
      <c r="J182">
        <v>7</v>
      </c>
      <c r="K182">
        <v>402</v>
      </c>
      <c r="L182">
        <v>57</v>
      </c>
      <c r="M182" t="s">
        <v>159</v>
      </c>
      <c r="N182" t="s">
        <v>154</v>
      </c>
    </row>
    <row r="183" spans="1:14" x14ac:dyDescent="0.25">
      <c r="A183" t="s">
        <v>63</v>
      </c>
      <c r="B183" t="s">
        <v>58</v>
      </c>
      <c r="C183" s="1">
        <v>43155</v>
      </c>
      <c r="D183" t="s">
        <v>128</v>
      </c>
      <c r="E183">
        <v>3</v>
      </c>
      <c r="F183" s="12">
        <v>104</v>
      </c>
      <c r="G183">
        <v>185</v>
      </c>
      <c r="H183" s="13">
        <v>19205.25</v>
      </c>
      <c r="I183" s="1">
        <v>43251</v>
      </c>
      <c r="J183">
        <v>5</v>
      </c>
      <c r="K183">
        <v>32</v>
      </c>
      <c r="L183">
        <v>59</v>
      </c>
      <c r="M183" t="s">
        <v>159</v>
      </c>
      <c r="N183" t="s">
        <v>154</v>
      </c>
    </row>
    <row r="184" spans="1:14" x14ac:dyDescent="0.25">
      <c r="A184" t="s">
        <v>42</v>
      </c>
      <c r="B184" t="s">
        <v>1</v>
      </c>
      <c r="C184" s="1">
        <v>43712</v>
      </c>
      <c r="D184" t="s">
        <v>128</v>
      </c>
      <c r="E184">
        <v>3</v>
      </c>
      <c r="F184" s="12">
        <v>104</v>
      </c>
      <c r="G184">
        <v>736</v>
      </c>
      <c r="H184" s="13">
        <v>76509.25</v>
      </c>
      <c r="I184" s="1">
        <v>44051</v>
      </c>
      <c r="J184">
        <v>8</v>
      </c>
      <c r="K184">
        <v>586</v>
      </c>
      <c r="L184">
        <v>57</v>
      </c>
      <c r="M184" t="s">
        <v>159</v>
      </c>
      <c r="N184" t="s">
        <v>154</v>
      </c>
    </row>
    <row r="185" spans="1:14" x14ac:dyDescent="0.25">
      <c r="A185" t="s">
        <v>62</v>
      </c>
      <c r="B185" t="s">
        <v>57</v>
      </c>
      <c r="C185" s="1">
        <v>43724</v>
      </c>
      <c r="D185" t="s">
        <v>128</v>
      </c>
      <c r="E185">
        <v>3</v>
      </c>
      <c r="F185" s="12">
        <v>104</v>
      </c>
      <c r="G185">
        <v>274</v>
      </c>
      <c r="H185" s="13">
        <v>28461.25</v>
      </c>
      <c r="I185" s="1">
        <v>44072</v>
      </c>
      <c r="J185">
        <v>8</v>
      </c>
      <c r="K185">
        <v>443</v>
      </c>
      <c r="L185">
        <v>56</v>
      </c>
      <c r="M185" t="s">
        <v>159</v>
      </c>
      <c r="N185" t="s">
        <v>153</v>
      </c>
    </row>
    <row r="186" spans="1:14" x14ac:dyDescent="0.25">
      <c r="A186" t="s">
        <v>89</v>
      </c>
      <c r="B186" t="s">
        <v>85</v>
      </c>
      <c r="C186" s="1">
        <v>43093</v>
      </c>
      <c r="D186" t="s">
        <v>128</v>
      </c>
      <c r="E186">
        <v>3</v>
      </c>
      <c r="F186" s="12">
        <v>104</v>
      </c>
      <c r="G186">
        <v>1033</v>
      </c>
      <c r="H186" s="13">
        <v>107397.25</v>
      </c>
      <c r="I186" s="1">
        <v>43876</v>
      </c>
      <c r="J186">
        <v>2</v>
      </c>
      <c r="K186">
        <v>176</v>
      </c>
      <c r="L186">
        <v>58</v>
      </c>
      <c r="M186" t="s">
        <v>159</v>
      </c>
      <c r="N186" t="s">
        <v>154</v>
      </c>
    </row>
    <row r="187" spans="1:14" x14ac:dyDescent="0.25">
      <c r="A187" t="s">
        <v>46</v>
      </c>
      <c r="B187" t="s">
        <v>39</v>
      </c>
      <c r="C187" s="1">
        <v>43490</v>
      </c>
      <c r="D187" t="s">
        <v>128</v>
      </c>
      <c r="E187">
        <v>3</v>
      </c>
      <c r="F187" s="12">
        <v>104</v>
      </c>
      <c r="G187">
        <v>594</v>
      </c>
      <c r="H187" s="13">
        <v>61741.25</v>
      </c>
      <c r="I187" s="1">
        <v>43698</v>
      </c>
      <c r="J187">
        <v>8</v>
      </c>
      <c r="K187">
        <v>485</v>
      </c>
      <c r="L187">
        <v>50</v>
      </c>
      <c r="M187" t="s">
        <v>163</v>
      </c>
      <c r="N187" t="s">
        <v>154</v>
      </c>
    </row>
    <row r="188" spans="1:14" x14ac:dyDescent="0.25">
      <c r="A188" t="s">
        <v>70</v>
      </c>
      <c r="B188" t="s">
        <v>65</v>
      </c>
      <c r="C188" s="1">
        <v>43523</v>
      </c>
      <c r="D188" t="s">
        <v>128</v>
      </c>
      <c r="E188">
        <v>3</v>
      </c>
      <c r="F188" s="12">
        <v>104</v>
      </c>
      <c r="G188">
        <v>506</v>
      </c>
      <c r="H188" s="13">
        <v>52589.25</v>
      </c>
      <c r="I188" s="1">
        <v>43703</v>
      </c>
      <c r="J188">
        <v>8</v>
      </c>
      <c r="K188">
        <v>476</v>
      </c>
      <c r="L188">
        <v>50</v>
      </c>
      <c r="M188" t="s">
        <v>163</v>
      </c>
      <c r="N188" t="s">
        <v>154</v>
      </c>
    </row>
    <row r="189" spans="1:14" x14ac:dyDescent="0.25">
      <c r="A189" t="s">
        <v>51</v>
      </c>
      <c r="B189" t="s">
        <v>49</v>
      </c>
      <c r="C189" s="1">
        <v>42394</v>
      </c>
      <c r="D189" t="s">
        <v>128</v>
      </c>
      <c r="E189">
        <v>3</v>
      </c>
      <c r="F189" s="12">
        <v>104</v>
      </c>
      <c r="G189">
        <v>1362</v>
      </c>
      <c r="H189" s="13">
        <v>141613.25</v>
      </c>
      <c r="I189" s="1">
        <v>43575</v>
      </c>
      <c r="J189">
        <v>4</v>
      </c>
      <c r="K189">
        <v>164</v>
      </c>
      <c r="L189">
        <v>45</v>
      </c>
      <c r="M189" t="s">
        <v>162</v>
      </c>
      <c r="N189" t="s">
        <v>154</v>
      </c>
    </row>
    <row r="190" spans="1:14" x14ac:dyDescent="0.25">
      <c r="A190" t="s">
        <v>52</v>
      </c>
      <c r="B190" t="s">
        <v>50</v>
      </c>
      <c r="C190" s="1">
        <v>43917</v>
      </c>
      <c r="D190" t="s">
        <v>128</v>
      </c>
      <c r="E190">
        <v>3</v>
      </c>
      <c r="F190" s="12">
        <v>104</v>
      </c>
      <c r="G190">
        <v>275</v>
      </c>
      <c r="H190" s="13">
        <v>28565.25</v>
      </c>
      <c r="I190" s="1">
        <v>44401</v>
      </c>
      <c r="J190">
        <v>7</v>
      </c>
      <c r="K190">
        <v>589</v>
      </c>
      <c r="L190">
        <v>57</v>
      </c>
      <c r="M190" t="s">
        <v>159</v>
      </c>
      <c r="N190" t="s">
        <v>154</v>
      </c>
    </row>
    <row r="191" spans="1:14" x14ac:dyDescent="0.25">
      <c r="A191" t="s">
        <v>64</v>
      </c>
      <c r="B191" t="s">
        <v>59</v>
      </c>
      <c r="C191" s="1">
        <v>43153</v>
      </c>
      <c r="D191" t="s">
        <v>128</v>
      </c>
      <c r="E191">
        <v>3</v>
      </c>
      <c r="F191" s="12">
        <v>104</v>
      </c>
      <c r="G191">
        <v>532</v>
      </c>
      <c r="H191" s="13">
        <v>55293.25</v>
      </c>
      <c r="I191" s="1">
        <v>43301</v>
      </c>
      <c r="J191">
        <v>7</v>
      </c>
      <c r="K191">
        <v>41</v>
      </c>
      <c r="L191">
        <v>54</v>
      </c>
      <c r="M191" t="s">
        <v>156</v>
      </c>
      <c r="N191" t="s">
        <v>154</v>
      </c>
    </row>
    <row r="192" spans="1:14" x14ac:dyDescent="0.25">
      <c r="A192" t="s">
        <v>34</v>
      </c>
      <c r="B192" t="s">
        <v>30</v>
      </c>
      <c r="C192" s="1">
        <v>43765</v>
      </c>
      <c r="D192" t="s">
        <v>128</v>
      </c>
      <c r="E192">
        <v>3</v>
      </c>
      <c r="F192" s="12">
        <v>104</v>
      </c>
      <c r="G192">
        <v>622</v>
      </c>
      <c r="H192" s="13">
        <v>64653.25</v>
      </c>
      <c r="I192" s="1">
        <v>44346</v>
      </c>
      <c r="J192">
        <v>5</v>
      </c>
      <c r="K192">
        <v>449</v>
      </c>
      <c r="L192">
        <v>56</v>
      </c>
      <c r="M192" t="s">
        <v>159</v>
      </c>
      <c r="N192" t="s">
        <v>154</v>
      </c>
    </row>
    <row r="193" spans="1:14" x14ac:dyDescent="0.25">
      <c r="A193" t="s">
        <v>91</v>
      </c>
      <c r="B193" t="s">
        <v>87</v>
      </c>
      <c r="C193" s="1">
        <v>43557</v>
      </c>
      <c r="D193" t="s">
        <v>128</v>
      </c>
      <c r="E193">
        <v>3</v>
      </c>
      <c r="F193" s="12">
        <v>104</v>
      </c>
      <c r="G193">
        <v>723</v>
      </c>
      <c r="H193" s="13">
        <v>75157.25</v>
      </c>
      <c r="I193" s="1">
        <v>43621</v>
      </c>
      <c r="J193">
        <v>6</v>
      </c>
      <c r="K193">
        <v>54</v>
      </c>
      <c r="L193">
        <v>42</v>
      </c>
      <c r="M193" t="s">
        <v>162</v>
      </c>
      <c r="N193" t="s">
        <v>153</v>
      </c>
    </row>
    <row r="194" spans="1:14" x14ac:dyDescent="0.25">
      <c r="A194" t="s">
        <v>89</v>
      </c>
      <c r="B194" t="s">
        <v>85</v>
      </c>
      <c r="C194" s="1">
        <v>43093</v>
      </c>
      <c r="D194" t="s">
        <v>128</v>
      </c>
      <c r="E194">
        <v>3</v>
      </c>
      <c r="F194" s="12">
        <v>104</v>
      </c>
      <c r="G194">
        <v>262</v>
      </c>
      <c r="H194" s="13">
        <v>27213.25</v>
      </c>
      <c r="I194" s="1">
        <v>43954</v>
      </c>
      <c r="J194">
        <v>5</v>
      </c>
      <c r="K194">
        <v>346</v>
      </c>
      <c r="L194">
        <v>51</v>
      </c>
      <c r="M194" t="s">
        <v>156</v>
      </c>
      <c r="N194" t="s">
        <v>154</v>
      </c>
    </row>
    <row r="195" spans="1:14" x14ac:dyDescent="0.25">
      <c r="A195" t="s">
        <v>47</v>
      </c>
      <c r="B195" t="s">
        <v>48</v>
      </c>
      <c r="C195" s="1">
        <v>42542</v>
      </c>
      <c r="D195" t="s">
        <v>128</v>
      </c>
      <c r="E195">
        <v>3</v>
      </c>
      <c r="F195" s="12">
        <v>104</v>
      </c>
      <c r="G195">
        <v>492</v>
      </c>
      <c r="H195" s="13">
        <v>51133.25</v>
      </c>
      <c r="I195" s="1">
        <v>42617</v>
      </c>
      <c r="J195">
        <v>9</v>
      </c>
      <c r="K195">
        <v>335</v>
      </c>
      <c r="L195">
        <v>52</v>
      </c>
      <c r="M195" t="s">
        <v>156</v>
      </c>
      <c r="N195" t="s">
        <v>154</v>
      </c>
    </row>
    <row r="196" spans="1:14" x14ac:dyDescent="0.25">
      <c r="A196" t="s">
        <v>74</v>
      </c>
      <c r="B196" t="s">
        <v>69</v>
      </c>
      <c r="C196" s="1">
        <v>42228</v>
      </c>
      <c r="D196" t="s">
        <v>128</v>
      </c>
      <c r="E196">
        <v>3</v>
      </c>
      <c r="F196" s="12">
        <v>104</v>
      </c>
      <c r="G196">
        <v>400</v>
      </c>
      <c r="H196" s="13">
        <v>41565.25</v>
      </c>
      <c r="I196" s="1">
        <v>43676</v>
      </c>
      <c r="J196">
        <v>7</v>
      </c>
      <c r="K196">
        <v>550</v>
      </c>
      <c r="L196">
        <v>22</v>
      </c>
      <c r="M196" t="s">
        <v>160</v>
      </c>
      <c r="N196" t="s">
        <v>154</v>
      </c>
    </row>
    <row r="197" spans="1:14" x14ac:dyDescent="0.25">
      <c r="A197" t="s">
        <v>41</v>
      </c>
      <c r="B197" t="s">
        <v>36</v>
      </c>
      <c r="C197" s="1">
        <v>42880</v>
      </c>
      <c r="D197" t="s">
        <v>128</v>
      </c>
      <c r="E197">
        <v>3</v>
      </c>
      <c r="F197" s="12">
        <v>104</v>
      </c>
      <c r="G197">
        <v>692</v>
      </c>
      <c r="H197" s="13">
        <v>71933.25</v>
      </c>
      <c r="I197" s="1">
        <v>44052</v>
      </c>
      <c r="J197">
        <v>8</v>
      </c>
      <c r="K197">
        <v>447</v>
      </c>
      <c r="L197">
        <v>21</v>
      </c>
      <c r="M197" t="s">
        <v>160</v>
      </c>
      <c r="N197" t="s">
        <v>153</v>
      </c>
    </row>
    <row r="198" spans="1:14" x14ac:dyDescent="0.25">
      <c r="A198" t="s">
        <v>89</v>
      </c>
      <c r="B198" t="s">
        <v>85</v>
      </c>
      <c r="C198" s="1">
        <v>43093</v>
      </c>
      <c r="D198" t="s">
        <v>128</v>
      </c>
      <c r="E198">
        <v>3</v>
      </c>
      <c r="F198" s="12">
        <v>104</v>
      </c>
      <c r="G198">
        <v>284</v>
      </c>
      <c r="H198" s="13">
        <v>29501.25</v>
      </c>
      <c r="I198" s="1">
        <v>43610</v>
      </c>
      <c r="J198">
        <v>5</v>
      </c>
      <c r="K198">
        <v>291</v>
      </c>
      <c r="L198">
        <v>59</v>
      </c>
      <c r="M198" t="s">
        <v>159</v>
      </c>
      <c r="N198" t="s">
        <v>154</v>
      </c>
    </row>
    <row r="199" spans="1:14" x14ac:dyDescent="0.25">
      <c r="A199" t="s">
        <v>34</v>
      </c>
      <c r="B199" t="s">
        <v>30</v>
      </c>
      <c r="C199" s="1">
        <v>43765</v>
      </c>
      <c r="D199" t="s">
        <v>128</v>
      </c>
      <c r="E199">
        <v>3</v>
      </c>
      <c r="F199" s="12">
        <v>104</v>
      </c>
      <c r="G199">
        <v>760</v>
      </c>
      <c r="H199" s="13">
        <v>79005.25</v>
      </c>
      <c r="I199" s="1">
        <v>44443</v>
      </c>
      <c r="J199">
        <v>9</v>
      </c>
      <c r="K199">
        <v>195</v>
      </c>
      <c r="L199">
        <v>31</v>
      </c>
      <c r="M199" t="s">
        <v>164</v>
      </c>
      <c r="N199" t="s">
        <v>153</v>
      </c>
    </row>
    <row r="200" spans="1:14" x14ac:dyDescent="0.25">
      <c r="A200" t="s">
        <v>90</v>
      </c>
      <c r="B200" t="s">
        <v>86</v>
      </c>
      <c r="C200" s="1">
        <v>43995</v>
      </c>
      <c r="D200" t="s">
        <v>128</v>
      </c>
      <c r="E200">
        <v>3</v>
      </c>
      <c r="F200" s="12">
        <v>104</v>
      </c>
      <c r="G200">
        <v>434</v>
      </c>
      <c r="H200" s="13">
        <v>45101.25</v>
      </c>
      <c r="I200" s="1">
        <v>44163</v>
      </c>
      <c r="J200">
        <v>11</v>
      </c>
      <c r="K200">
        <v>96</v>
      </c>
      <c r="L200">
        <v>51</v>
      </c>
      <c r="M200" t="s">
        <v>156</v>
      </c>
      <c r="N200" t="s">
        <v>154</v>
      </c>
    </row>
    <row r="201" spans="1:14" x14ac:dyDescent="0.25">
      <c r="A201" t="s">
        <v>34</v>
      </c>
      <c r="B201" t="s">
        <v>30</v>
      </c>
      <c r="C201" s="1">
        <v>43765</v>
      </c>
      <c r="D201" t="s">
        <v>128</v>
      </c>
      <c r="E201">
        <v>3</v>
      </c>
      <c r="F201" s="12">
        <v>104</v>
      </c>
      <c r="G201">
        <v>615</v>
      </c>
      <c r="H201" s="13">
        <v>63925.25</v>
      </c>
      <c r="I201" s="1">
        <v>43827</v>
      </c>
      <c r="J201">
        <v>12</v>
      </c>
      <c r="K201">
        <v>155</v>
      </c>
      <c r="L201">
        <v>44</v>
      </c>
      <c r="M201" t="s">
        <v>162</v>
      </c>
      <c r="N201" t="s">
        <v>153</v>
      </c>
    </row>
    <row r="202" spans="1:14" x14ac:dyDescent="0.25">
      <c r="A202" t="s">
        <v>72</v>
      </c>
      <c r="B202" t="s">
        <v>67</v>
      </c>
      <c r="C202" s="1">
        <v>43827</v>
      </c>
      <c r="D202" t="s">
        <v>128</v>
      </c>
      <c r="E202">
        <v>3</v>
      </c>
      <c r="F202" s="12">
        <v>104</v>
      </c>
      <c r="G202">
        <v>476</v>
      </c>
      <c r="H202" s="13">
        <v>49469.25</v>
      </c>
      <c r="I202" s="1">
        <v>44449</v>
      </c>
      <c r="J202">
        <v>9</v>
      </c>
      <c r="K202">
        <v>452</v>
      </c>
      <c r="L202">
        <v>50</v>
      </c>
      <c r="M202" t="s">
        <v>163</v>
      </c>
      <c r="N202" t="s">
        <v>154</v>
      </c>
    </row>
    <row r="203" spans="1:14" x14ac:dyDescent="0.25">
      <c r="A203" t="s">
        <v>89</v>
      </c>
      <c r="B203" t="s">
        <v>85</v>
      </c>
      <c r="C203" s="1">
        <v>43093</v>
      </c>
      <c r="D203" t="s">
        <v>128</v>
      </c>
      <c r="E203">
        <v>3</v>
      </c>
      <c r="F203" s="12">
        <v>104</v>
      </c>
      <c r="G203">
        <v>691</v>
      </c>
      <c r="H203" s="13">
        <v>71829.25</v>
      </c>
      <c r="I203" s="1">
        <v>43333</v>
      </c>
      <c r="J203">
        <v>8</v>
      </c>
      <c r="K203">
        <v>86</v>
      </c>
      <c r="L203">
        <v>20</v>
      </c>
      <c r="M203" t="s">
        <v>160</v>
      </c>
      <c r="N203" t="s">
        <v>153</v>
      </c>
    </row>
    <row r="204" spans="1:14" x14ac:dyDescent="0.25">
      <c r="A204" t="s">
        <v>80</v>
      </c>
      <c r="B204" t="s">
        <v>77</v>
      </c>
      <c r="C204" s="1">
        <v>43282</v>
      </c>
      <c r="D204" t="s">
        <v>128</v>
      </c>
      <c r="E204">
        <v>3</v>
      </c>
      <c r="F204" s="12">
        <v>104</v>
      </c>
      <c r="G204">
        <v>509</v>
      </c>
      <c r="H204" s="13">
        <v>52901.25</v>
      </c>
      <c r="I204" s="1">
        <v>43762</v>
      </c>
      <c r="J204">
        <v>10</v>
      </c>
      <c r="K204">
        <v>522</v>
      </c>
      <c r="L204">
        <v>54</v>
      </c>
      <c r="M204" t="s">
        <v>156</v>
      </c>
      <c r="N204" t="s">
        <v>154</v>
      </c>
    </row>
    <row r="205" spans="1:14" x14ac:dyDescent="0.25">
      <c r="A205" t="s">
        <v>116</v>
      </c>
      <c r="B205" t="s">
        <v>110</v>
      </c>
      <c r="C205" s="1">
        <v>42277</v>
      </c>
      <c r="D205" t="s">
        <v>128</v>
      </c>
      <c r="E205">
        <v>3</v>
      </c>
      <c r="F205" s="12">
        <v>104</v>
      </c>
      <c r="G205">
        <v>1162</v>
      </c>
      <c r="H205" s="13">
        <v>120813.25</v>
      </c>
      <c r="I205" s="1">
        <v>42424</v>
      </c>
      <c r="J205">
        <v>2</v>
      </c>
      <c r="K205">
        <v>440</v>
      </c>
      <c r="L205">
        <v>65</v>
      </c>
      <c r="M205" t="s">
        <v>157</v>
      </c>
      <c r="N205" t="s">
        <v>153</v>
      </c>
    </row>
    <row r="206" spans="1:14" x14ac:dyDescent="0.25">
      <c r="A206" t="s">
        <v>117</v>
      </c>
      <c r="B206" t="s">
        <v>111</v>
      </c>
      <c r="C206" s="1">
        <v>42729</v>
      </c>
      <c r="D206" t="s">
        <v>128</v>
      </c>
      <c r="E206">
        <v>3</v>
      </c>
      <c r="F206" s="12">
        <v>104</v>
      </c>
      <c r="G206">
        <v>753</v>
      </c>
      <c r="H206" s="13">
        <v>78277.25</v>
      </c>
      <c r="I206" s="1">
        <v>43838</v>
      </c>
      <c r="J206">
        <v>1</v>
      </c>
      <c r="K206">
        <v>87</v>
      </c>
      <c r="L206">
        <v>30</v>
      </c>
      <c r="M206" t="s">
        <v>158</v>
      </c>
      <c r="N206" t="s">
        <v>154</v>
      </c>
    </row>
    <row r="207" spans="1:14" x14ac:dyDescent="0.25">
      <c r="A207" t="s">
        <v>35</v>
      </c>
      <c r="B207" t="s">
        <v>3</v>
      </c>
      <c r="C207" s="1">
        <v>42465</v>
      </c>
      <c r="D207" t="s">
        <v>128</v>
      </c>
      <c r="E207">
        <v>3</v>
      </c>
      <c r="F207" s="12">
        <v>104</v>
      </c>
      <c r="G207">
        <v>1792</v>
      </c>
      <c r="H207" s="13">
        <v>186333.25</v>
      </c>
      <c r="I207" s="1">
        <v>44292</v>
      </c>
      <c r="J207">
        <v>4</v>
      </c>
      <c r="K207">
        <v>167</v>
      </c>
      <c r="L207">
        <v>57</v>
      </c>
      <c r="M207" t="s">
        <v>159</v>
      </c>
      <c r="N207" t="s">
        <v>153</v>
      </c>
    </row>
    <row r="208" spans="1:14" x14ac:dyDescent="0.25">
      <c r="A208" t="s">
        <v>63</v>
      </c>
      <c r="B208" t="s">
        <v>58</v>
      </c>
      <c r="C208" s="1">
        <v>43155</v>
      </c>
      <c r="D208" t="s">
        <v>128</v>
      </c>
      <c r="E208">
        <v>3</v>
      </c>
      <c r="F208" s="12">
        <v>104</v>
      </c>
      <c r="G208">
        <v>1963</v>
      </c>
      <c r="H208" s="13">
        <v>204117.25</v>
      </c>
      <c r="I208" s="1">
        <v>43570</v>
      </c>
      <c r="J208">
        <v>4</v>
      </c>
      <c r="K208">
        <v>113</v>
      </c>
      <c r="L208">
        <v>56</v>
      </c>
      <c r="M208" t="s">
        <v>159</v>
      </c>
      <c r="N208" t="s">
        <v>154</v>
      </c>
    </row>
    <row r="209" spans="1:14" x14ac:dyDescent="0.25">
      <c r="A209" t="s">
        <v>46</v>
      </c>
      <c r="B209" t="s">
        <v>39</v>
      </c>
      <c r="C209" s="1">
        <v>43490</v>
      </c>
      <c r="D209" t="s">
        <v>128</v>
      </c>
      <c r="E209">
        <v>3</v>
      </c>
      <c r="F209" s="12">
        <v>104</v>
      </c>
      <c r="G209">
        <v>563</v>
      </c>
      <c r="H209" s="13">
        <v>58517.25</v>
      </c>
      <c r="I209" s="1">
        <v>43637</v>
      </c>
      <c r="J209">
        <v>6</v>
      </c>
      <c r="K209">
        <v>473</v>
      </c>
      <c r="L209">
        <v>65</v>
      </c>
      <c r="M209" t="s">
        <v>157</v>
      </c>
      <c r="N209" t="s">
        <v>153</v>
      </c>
    </row>
    <row r="210" spans="1:14" x14ac:dyDescent="0.25">
      <c r="A210" t="s">
        <v>113</v>
      </c>
      <c r="B210" t="s">
        <v>107</v>
      </c>
      <c r="C210" s="1">
        <v>43912</v>
      </c>
      <c r="D210" t="s">
        <v>128</v>
      </c>
      <c r="E210">
        <v>3</v>
      </c>
      <c r="F210" s="12">
        <v>104</v>
      </c>
      <c r="G210">
        <v>210</v>
      </c>
      <c r="H210" s="13">
        <v>21805.25</v>
      </c>
      <c r="I210" s="1">
        <v>44362</v>
      </c>
      <c r="J210">
        <v>6</v>
      </c>
      <c r="K210">
        <v>286</v>
      </c>
      <c r="L210">
        <v>32</v>
      </c>
      <c r="M210" t="s">
        <v>164</v>
      </c>
      <c r="N210" t="s">
        <v>153</v>
      </c>
    </row>
    <row r="211" spans="1:14" x14ac:dyDescent="0.25">
      <c r="A211" t="s">
        <v>74</v>
      </c>
      <c r="B211" t="s">
        <v>69</v>
      </c>
      <c r="C211" s="1">
        <v>42228</v>
      </c>
      <c r="D211" t="s">
        <v>128</v>
      </c>
      <c r="E211">
        <v>3</v>
      </c>
      <c r="F211" s="12">
        <v>104</v>
      </c>
      <c r="G211">
        <v>607</v>
      </c>
      <c r="H211" s="13">
        <v>63093.25</v>
      </c>
      <c r="I211" s="1">
        <v>44231</v>
      </c>
      <c r="J211">
        <v>2</v>
      </c>
      <c r="K211">
        <v>425</v>
      </c>
      <c r="L211">
        <v>28</v>
      </c>
      <c r="M211" t="s">
        <v>158</v>
      </c>
      <c r="N211" t="s">
        <v>153</v>
      </c>
    </row>
    <row r="212" spans="1:14" x14ac:dyDescent="0.25">
      <c r="A212" t="s">
        <v>43</v>
      </c>
      <c r="B212" t="s">
        <v>37</v>
      </c>
      <c r="C212" s="1">
        <v>43490</v>
      </c>
      <c r="D212" t="s">
        <v>128</v>
      </c>
      <c r="E212">
        <v>3</v>
      </c>
      <c r="F212" s="12">
        <v>104</v>
      </c>
      <c r="G212">
        <v>526</v>
      </c>
      <c r="H212" s="13">
        <v>54669.25</v>
      </c>
      <c r="I212" s="1">
        <v>44373</v>
      </c>
      <c r="J212">
        <v>6</v>
      </c>
      <c r="K212">
        <v>457</v>
      </c>
      <c r="L212">
        <v>56</v>
      </c>
      <c r="M212" t="s">
        <v>159</v>
      </c>
      <c r="N212" t="s">
        <v>154</v>
      </c>
    </row>
    <row r="213" spans="1:14" x14ac:dyDescent="0.25">
      <c r="A213" t="s">
        <v>82</v>
      </c>
      <c r="B213" t="s">
        <v>79</v>
      </c>
      <c r="C213" s="1">
        <v>43278</v>
      </c>
      <c r="D213" t="s">
        <v>128</v>
      </c>
      <c r="E213">
        <v>3</v>
      </c>
      <c r="F213" s="12">
        <v>104</v>
      </c>
      <c r="G213">
        <v>681</v>
      </c>
      <c r="H213" s="13">
        <v>70789.25</v>
      </c>
      <c r="I213" s="1">
        <v>44135</v>
      </c>
      <c r="J213">
        <v>10</v>
      </c>
      <c r="K213">
        <v>215</v>
      </c>
      <c r="L213">
        <v>55</v>
      </c>
      <c r="M213" t="s">
        <v>156</v>
      </c>
      <c r="N213" t="s">
        <v>154</v>
      </c>
    </row>
    <row r="214" spans="1:14" x14ac:dyDescent="0.25">
      <c r="A214" t="s">
        <v>103</v>
      </c>
      <c r="B214" t="s">
        <v>100</v>
      </c>
      <c r="C214" s="1">
        <v>42080</v>
      </c>
      <c r="D214" t="s">
        <v>128</v>
      </c>
      <c r="E214">
        <v>3</v>
      </c>
      <c r="F214" s="12">
        <v>104</v>
      </c>
      <c r="G214">
        <v>1802</v>
      </c>
      <c r="H214" s="13">
        <v>187373.25</v>
      </c>
      <c r="I214" s="1">
        <v>44245</v>
      </c>
      <c r="J214">
        <v>2</v>
      </c>
      <c r="K214">
        <v>26</v>
      </c>
      <c r="L214">
        <v>54</v>
      </c>
      <c r="M214" t="s">
        <v>156</v>
      </c>
      <c r="N214" t="s">
        <v>154</v>
      </c>
    </row>
    <row r="215" spans="1:14" x14ac:dyDescent="0.25">
      <c r="A215" t="s">
        <v>31</v>
      </c>
      <c r="B215" t="s">
        <v>27</v>
      </c>
      <c r="C215" s="1">
        <v>42433</v>
      </c>
      <c r="D215" t="s">
        <v>128</v>
      </c>
      <c r="E215">
        <v>3</v>
      </c>
      <c r="F215" s="12">
        <v>104</v>
      </c>
      <c r="G215">
        <v>412</v>
      </c>
      <c r="H215" s="13">
        <v>42813.25</v>
      </c>
      <c r="I215" s="1">
        <v>43831</v>
      </c>
      <c r="J215">
        <v>1</v>
      </c>
      <c r="K215">
        <v>261</v>
      </c>
      <c r="L215">
        <v>39</v>
      </c>
      <c r="M215" t="s">
        <v>161</v>
      </c>
      <c r="N215" t="s">
        <v>153</v>
      </c>
    </row>
    <row r="216" spans="1:14" x14ac:dyDescent="0.25">
      <c r="A216" t="s">
        <v>117</v>
      </c>
      <c r="B216" t="s">
        <v>111</v>
      </c>
      <c r="C216" s="1">
        <v>42729</v>
      </c>
      <c r="D216" t="s">
        <v>128</v>
      </c>
      <c r="E216">
        <v>3</v>
      </c>
      <c r="F216" s="12">
        <v>104</v>
      </c>
      <c r="G216">
        <v>995</v>
      </c>
      <c r="H216" s="13">
        <v>103445.25</v>
      </c>
      <c r="I216" s="1">
        <v>43154</v>
      </c>
      <c r="J216">
        <v>2</v>
      </c>
      <c r="K216">
        <v>185</v>
      </c>
      <c r="L216">
        <v>55</v>
      </c>
      <c r="M216" t="s">
        <v>156</v>
      </c>
      <c r="N216" t="s">
        <v>154</v>
      </c>
    </row>
    <row r="217" spans="1:14" x14ac:dyDescent="0.25">
      <c r="A217" t="s">
        <v>62</v>
      </c>
      <c r="B217" t="s">
        <v>57</v>
      </c>
      <c r="C217" s="1">
        <v>43724</v>
      </c>
      <c r="D217" t="s">
        <v>128</v>
      </c>
      <c r="E217">
        <v>3</v>
      </c>
      <c r="F217" s="12">
        <v>104</v>
      </c>
      <c r="G217">
        <v>371</v>
      </c>
      <c r="H217" s="13">
        <v>38549.25</v>
      </c>
      <c r="I217" s="1">
        <v>43807</v>
      </c>
      <c r="J217">
        <v>12</v>
      </c>
      <c r="K217">
        <v>205</v>
      </c>
      <c r="L217">
        <v>40</v>
      </c>
      <c r="M217" t="s">
        <v>161</v>
      </c>
      <c r="N217" t="s">
        <v>153</v>
      </c>
    </row>
    <row r="218" spans="1:14" x14ac:dyDescent="0.25">
      <c r="A218" t="s">
        <v>115</v>
      </c>
      <c r="B218" t="s">
        <v>109</v>
      </c>
      <c r="C218" s="1">
        <v>43357</v>
      </c>
      <c r="D218" t="s">
        <v>128</v>
      </c>
      <c r="E218">
        <v>3</v>
      </c>
      <c r="F218" s="12">
        <v>104</v>
      </c>
      <c r="G218">
        <v>581</v>
      </c>
      <c r="H218" s="13">
        <v>60389.25</v>
      </c>
      <c r="I218" s="1">
        <v>43666</v>
      </c>
      <c r="J218">
        <v>7</v>
      </c>
      <c r="K218">
        <v>564</v>
      </c>
      <c r="L218">
        <v>45</v>
      </c>
      <c r="M218" t="s">
        <v>162</v>
      </c>
      <c r="N218" t="s">
        <v>154</v>
      </c>
    </row>
    <row r="219" spans="1:14" x14ac:dyDescent="0.25">
      <c r="A219" t="s">
        <v>105</v>
      </c>
      <c r="B219" t="s">
        <v>106</v>
      </c>
      <c r="C219" s="1">
        <v>43451</v>
      </c>
      <c r="D219" t="s">
        <v>128</v>
      </c>
      <c r="E219">
        <v>3</v>
      </c>
      <c r="F219" s="12">
        <v>104</v>
      </c>
      <c r="G219">
        <v>670</v>
      </c>
      <c r="H219" s="13">
        <v>69645.25</v>
      </c>
      <c r="I219" s="1">
        <v>44272</v>
      </c>
      <c r="J219">
        <v>3</v>
      </c>
      <c r="K219">
        <v>356</v>
      </c>
      <c r="L219">
        <v>58</v>
      </c>
      <c r="M219" t="s">
        <v>159</v>
      </c>
      <c r="N219" t="s">
        <v>154</v>
      </c>
    </row>
    <row r="220" spans="1:14" x14ac:dyDescent="0.25">
      <c r="A220" t="s">
        <v>75</v>
      </c>
      <c r="B220" t="s">
        <v>76</v>
      </c>
      <c r="C220" s="1">
        <v>43003</v>
      </c>
      <c r="D220" t="s">
        <v>128</v>
      </c>
      <c r="E220">
        <v>3</v>
      </c>
      <c r="F220" s="12">
        <v>104</v>
      </c>
      <c r="G220">
        <v>705</v>
      </c>
      <c r="H220" s="13">
        <v>73285.25</v>
      </c>
      <c r="I220" s="1">
        <v>43570</v>
      </c>
      <c r="J220">
        <v>4</v>
      </c>
      <c r="K220">
        <v>130</v>
      </c>
      <c r="L220">
        <v>60</v>
      </c>
      <c r="M220" t="s">
        <v>159</v>
      </c>
      <c r="N220" t="s">
        <v>154</v>
      </c>
    </row>
    <row r="221" spans="1:14" x14ac:dyDescent="0.25">
      <c r="A221" t="s">
        <v>46</v>
      </c>
      <c r="B221" t="s">
        <v>39</v>
      </c>
      <c r="C221" s="1">
        <v>43490</v>
      </c>
      <c r="D221" t="s">
        <v>128</v>
      </c>
      <c r="E221">
        <v>3</v>
      </c>
      <c r="F221" s="12">
        <v>104</v>
      </c>
      <c r="G221">
        <v>217</v>
      </c>
      <c r="H221" s="13">
        <v>22533.25</v>
      </c>
      <c r="I221" s="1">
        <v>44064</v>
      </c>
      <c r="J221">
        <v>8</v>
      </c>
      <c r="K221">
        <v>126</v>
      </c>
      <c r="L221">
        <v>64</v>
      </c>
      <c r="M221" t="s">
        <v>157</v>
      </c>
      <c r="N221" t="s">
        <v>153</v>
      </c>
    </row>
    <row r="222" spans="1:14" x14ac:dyDescent="0.25">
      <c r="A222" t="s">
        <v>103</v>
      </c>
      <c r="B222" t="s">
        <v>100</v>
      </c>
      <c r="C222" s="1">
        <v>42080</v>
      </c>
      <c r="D222" t="s">
        <v>128</v>
      </c>
      <c r="E222">
        <v>3</v>
      </c>
      <c r="F222" s="12">
        <v>104</v>
      </c>
      <c r="G222">
        <v>736</v>
      </c>
      <c r="H222" s="13">
        <v>76509.25</v>
      </c>
      <c r="I222" s="1">
        <v>44015</v>
      </c>
      <c r="J222">
        <v>7</v>
      </c>
      <c r="K222">
        <v>263</v>
      </c>
      <c r="L222">
        <v>45</v>
      </c>
      <c r="M222" t="s">
        <v>162</v>
      </c>
      <c r="N222" t="s">
        <v>154</v>
      </c>
    </row>
    <row r="223" spans="1:14" x14ac:dyDescent="0.25">
      <c r="A223" t="s">
        <v>64</v>
      </c>
      <c r="B223" t="s">
        <v>59</v>
      </c>
      <c r="C223" s="1">
        <v>43153</v>
      </c>
      <c r="D223" t="s">
        <v>128</v>
      </c>
      <c r="E223">
        <v>3</v>
      </c>
      <c r="F223" s="12">
        <v>104</v>
      </c>
      <c r="G223">
        <v>128</v>
      </c>
      <c r="H223" s="13">
        <v>13277.25</v>
      </c>
      <c r="I223" s="1">
        <v>43847</v>
      </c>
      <c r="J223">
        <v>1</v>
      </c>
      <c r="K223">
        <v>244</v>
      </c>
      <c r="L223">
        <v>53</v>
      </c>
      <c r="M223" t="s">
        <v>156</v>
      </c>
      <c r="N223" t="s">
        <v>153</v>
      </c>
    </row>
    <row r="224" spans="1:14" x14ac:dyDescent="0.25">
      <c r="A224" t="s">
        <v>118</v>
      </c>
      <c r="B224" t="s">
        <v>112</v>
      </c>
      <c r="C224" s="1">
        <v>43001</v>
      </c>
      <c r="D224" t="s">
        <v>128</v>
      </c>
      <c r="E224">
        <v>3</v>
      </c>
      <c r="F224" s="12">
        <v>104</v>
      </c>
      <c r="G224">
        <v>487</v>
      </c>
      <c r="H224" s="13">
        <v>50613.25</v>
      </c>
      <c r="I224" s="1">
        <v>43469</v>
      </c>
      <c r="J224">
        <v>1</v>
      </c>
      <c r="K224">
        <v>442</v>
      </c>
      <c r="L224">
        <v>55</v>
      </c>
      <c r="M224" t="s">
        <v>156</v>
      </c>
      <c r="N224" t="s">
        <v>154</v>
      </c>
    </row>
    <row r="225" spans="1:14" x14ac:dyDescent="0.25">
      <c r="A225" t="s">
        <v>90</v>
      </c>
      <c r="B225" t="s">
        <v>86</v>
      </c>
      <c r="C225" s="1">
        <v>43995</v>
      </c>
      <c r="D225" t="s">
        <v>128</v>
      </c>
      <c r="E225">
        <v>3</v>
      </c>
      <c r="F225" s="12">
        <v>104</v>
      </c>
      <c r="G225">
        <v>436</v>
      </c>
      <c r="H225" s="13">
        <v>45309.25</v>
      </c>
      <c r="I225" s="1">
        <v>44037</v>
      </c>
      <c r="J225">
        <v>7</v>
      </c>
      <c r="K225">
        <v>284</v>
      </c>
      <c r="L225">
        <v>52</v>
      </c>
      <c r="M225" t="s">
        <v>156</v>
      </c>
      <c r="N225" t="s">
        <v>154</v>
      </c>
    </row>
    <row r="226" spans="1:14" x14ac:dyDescent="0.25">
      <c r="A226" t="s">
        <v>33</v>
      </c>
      <c r="B226" t="s">
        <v>29</v>
      </c>
      <c r="C226" s="1">
        <v>42795</v>
      </c>
      <c r="D226" t="s">
        <v>128</v>
      </c>
      <c r="E226">
        <v>3</v>
      </c>
      <c r="F226" s="12">
        <v>104</v>
      </c>
      <c r="G226">
        <v>1221</v>
      </c>
      <c r="H226" s="13">
        <v>126949.25</v>
      </c>
      <c r="I226" s="1">
        <v>43889</v>
      </c>
      <c r="J226">
        <v>2</v>
      </c>
      <c r="K226">
        <v>496</v>
      </c>
      <c r="L226">
        <v>52</v>
      </c>
      <c r="M226" t="s">
        <v>156</v>
      </c>
      <c r="N226" t="s">
        <v>153</v>
      </c>
    </row>
    <row r="227" spans="1:14" x14ac:dyDescent="0.25">
      <c r="A227" t="s">
        <v>53</v>
      </c>
      <c r="B227" t="s">
        <v>54</v>
      </c>
      <c r="C227" s="1">
        <v>42816</v>
      </c>
      <c r="D227" t="s">
        <v>128</v>
      </c>
      <c r="E227">
        <v>3</v>
      </c>
      <c r="F227" s="12">
        <v>104</v>
      </c>
      <c r="G227">
        <v>263</v>
      </c>
      <c r="H227" s="13">
        <v>27317.25</v>
      </c>
      <c r="I227" s="1">
        <v>44001</v>
      </c>
      <c r="J227">
        <v>6</v>
      </c>
      <c r="K227">
        <v>596</v>
      </c>
      <c r="L227">
        <v>50</v>
      </c>
      <c r="M227" t="s">
        <v>163</v>
      </c>
      <c r="N227" t="s">
        <v>154</v>
      </c>
    </row>
    <row r="228" spans="1:14" x14ac:dyDescent="0.25">
      <c r="A228" t="s">
        <v>104</v>
      </c>
      <c r="B228" t="s">
        <v>101</v>
      </c>
      <c r="C228" s="1">
        <v>43296</v>
      </c>
      <c r="D228" t="s">
        <v>128</v>
      </c>
      <c r="E228">
        <v>3</v>
      </c>
      <c r="F228" s="12">
        <v>104</v>
      </c>
      <c r="G228">
        <v>1324</v>
      </c>
      <c r="H228" s="13">
        <v>137661.25</v>
      </c>
      <c r="I228" s="1">
        <v>43519</v>
      </c>
      <c r="J228">
        <v>2</v>
      </c>
      <c r="K228">
        <v>134</v>
      </c>
      <c r="L228">
        <v>43</v>
      </c>
      <c r="M228" t="s">
        <v>162</v>
      </c>
      <c r="N228" t="s">
        <v>154</v>
      </c>
    </row>
    <row r="229" spans="1:14" x14ac:dyDescent="0.25">
      <c r="A229" t="s">
        <v>117</v>
      </c>
      <c r="B229" t="s">
        <v>111</v>
      </c>
      <c r="C229" s="1">
        <v>42729</v>
      </c>
      <c r="D229" t="s">
        <v>128</v>
      </c>
      <c r="E229">
        <v>3</v>
      </c>
      <c r="F229" s="12">
        <v>104</v>
      </c>
      <c r="G229">
        <v>744</v>
      </c>
      <c r="H229" s="13">
        <v>77341.25</v>
      </c>
      <c r="I229" s="1">
        <v>43323</v>
      </c>
      <c r="J229">
        <v>8</v>
      </c>
      <c r="K229">
        <v>31</v>
      </c>
      <c r="L229">
        <v>49</v>
      </c>
      <c r="M229" t="s">
        <v>163</v>
      </c>
      <c r="N229" t="s">
        <v>154</v>
      </c>
    </row>
    <row r="230" spans="1:14" x14ac:dyDescent="0.25">
      <c r="A230" t="s">
        <v>64</v>
      </c>
      <c r="B230" t="s">
        <v>59</v>
      </c>
      <c r="C230" s="1">
        <v>43153</v>
      </c>
      <c r="D230" t="s">
        <v>128</v>
      </c>
      <c r="E230">
        <v>3</v>
      </c>
      <c r="F230" s="12">
        <v>104</v>
      </c>
      <c r="G230">
        <v>1675</v>
      </c>
      <c r="H230" s="13">
        <v>174165.25</v>
      </c>
      <c r="I230" s="1">
        <v>43577</v>
      </c>
      <c r="J230">
        <v>4</v>
      </c>
      <c r="K230">
        <v>529</v>
      </c>
      <c r="L230">
        <v>53</v>
      </c>
      <c r="M230" t="s">
        <v>156</v>
      </c>
      <c r="N230" t="s">
        <v>154</v>
      </c>
    </row>
    <row r="231" spans="1:14" x14ac:dyDescent="0.25">
      <c r="A231" t="s">
        <v>81</v>
      </c>
      <c r="B231" t="s">
        <v>78</v>
      </c>
      <c r="C231" s="1">
        <v>43932</v>
      </c>
      <c r="D231" t="s">
        <v>128</v>
      </c>
      <c r="E231">
        <v>3</v>
      </c>
      <c r="F231" s="12">
        <v>104</v>
      </c>
      <c r="G231">
        <v>342</v>
      </c>
      <c r="H231" s="13">
        <v>35533.25</v>
      </c>
      <c r="I231" s="1">
        <v>44210</v>
      </c>
      <c r="J231">
        <v>1</v>
      </c>
      <c r="K231">
        <v>575</v>
      </c>
      <c r="L231">
        <v>69</v>
      </c>
      <c r="M231" t="s">
        <v>165</v>
      </c>
      <c r="N231" t="s">
        <v>154</v>
      </c>
    </row>
    <row r="232" spans="1:14" x14ac:dyDescent="0.25">
      <c r="A232" t="s">
        <v>64</v>
      </c>
      <c r="B232" t="s">
        <v>59</v>
      </c>
      <c r="C232" s="1">
        <v>43153</v>
      </c>
      <c r="D232" t="s">
        <v>128</v>
      </c>
      <c r="E232">
        <v>3</v>
      </c>
      <c r="F232" s="12">
        <v>104</v>
      </c>
      <c r="G232">
        <v>275</v>
      </c>
      <c r="H232" s="13">
        <v>28565.25</v>
      </c>
      <c r="I232" s="1">
        <v>44376</v>
      </c>
      <c r="J232">
        <v>6</v>
      </c>
      <c r="K232">
        <v>125</v>
      </c>
      <c r="L232">
        <v>59</v>
      </c>
      <c r="M232" t="s">
        <v>159</v>
      </c>
      <c r="N232" t="s">
        <v>154</v>
      </c>
    </row>
    <row r="233" spans="1:14" x14ac:dyDescent="0.25">
      <c r="A233" t="s">
        <v>51</v>
      </c>
      <c r="B233" t="s">
        <v>49</v>
      </c>
      <c r="C233" s="1">
        <v>42394</v>
      </c>
      <c r="D233" t="s">
        <v>128</v>
      </c>
      <c r="E233">
        <v>3</v>
      </c>
      <c r="F233" s="12">
        <v>104</v>
      </c>
      <c r="G233">
        <v>1959</v>
      </c>
      <c r="H233" s="13">
        <v>203701.25</v>
      </c>
      <c r="I233" s="1">
        <v>43178</v>
      </c>
      <c r="J233">
        <v>3</v>
      </c>
      <c r="K233">
        <v>221</v>
      </c>
      <c r="L233">
        <v>35</v>
      </c>
      <c r="M233" t="s">
        <v>164</v>
      </c>
      <c r="N233" t="s">
        <v>153</v>
      </c>
    </row>
    <row r="234" spans="1:14" x14ac:dyDescent="0.25">
      <c r="A234" t="s">
        <v>118</v>
      </c>
      <c r="B234" t="s">
        <v>112</v>
      </c>
      <c r="C234" s="1">
        <v>43001</v>
      </c>
      <c r="D234" t="s">
        <v>128</v>
      </c>
      <c r="E234">
        <v>3</v>
      </c>
      <c r="F234" s="12">
        <v>104</v>
      </c>
      <c r="G234">
        <v>117</v>
      </c>
      <c r="H234" s="13">
        <v>12133.25</v>
      </c>
      <c r="I234" s="1">
        <v>43705</v>
      </c>
      <c r="J234">
        <v>8</v>
      </c>
      <c r="K234">
        <v>12</v>
      </c>
      <c r="L234">
        <v>56</v>
      </c>
      <c r="M234" t="s">
        <v>159</v>
      </c>
      <c r="N234" t="s">
        <v>153</v>
      </c>
    </row>
    <row r="235" spans="1:14" x14ac:dyDescent="0.25">
      <c r="A235" t="s">
        <v>117</v>
      </c>
      <c r="B235" t="s">
        <v>111</v>
      </c>
      <c r="C235" s="1">
        <v>42729</v>
      </c>
      <c r="D235" t="s">
        <v>128</v>
      </c>
      <c r="E235">
        <v>3</v>
      </c>
      <c r="F235" s="12">
        <v>104</v>
      </c>
      <c r="G235">
        <v>261</v>
      </c>
      <c r="H235" s="13">
        <v>27109.25</v>
      </c>
      <c r="I235" s="1">
        <v>43790</v>
      </c>
      <c r="J235">
        <v>11</v>
      </c>
      <c r="K235">
        <v>398</v>
      </c>
      <c r="L235">
        <v>40</v>
      </c>
      <c r="M235" t="s">
        <v>161</v>
      </c>
      <c r="N235" t="s">
        <v>154</v>
      </c>
    </row>
    <row r="236" spans="1:14" x14ac:dyDescent="0.25">
      <c r="A236" t="s">
        <v>43</v>
      </c>
      <c r="B236" t="s">
        <v>37</v>
      </c>
      <c r="C236" s="1">
        <v>43490</v>
      </c>
      <c r="D236" t="s">
        <v>128</v>
      </c>
      <c r="E236">
        <v>3</v>
      </c>
      <c r="F236" s="12">
        <v>104</v>
      </c>
      <c r="G236">
        <v>842</v>
      </c>
      <c r="H236" s="13">
        <v>87533.25</v>
      </c>
      <c r="I236" s="1">
        <v>43516</v>
      </c>
      <c r="J236">
        <v>2</v>
      </c>
      <c r="K236">
        <v>4</v>
      </c>
      <c r="L236">
        <v>50</v>
      </c>
      <c r="M236" t="s">
        <v>163</v>
      </c>
      <c r="N236" t="s">
        <v>154</v>
      </c>
    </row>
    <row r="237" spans="1:14" x14ac:dyDescent="0.25">
      <c r="A237" t="s">
        <v>64</v>
      </c>
      <c r="B237" t="s">
        <v>59</v>
      </c>
      <c r="C237" s="1">
        <v>43153</v>
      </c>
      <c r="D237" t="s">
        <v>128</v>
      </c>
      <c r="E237">
        <v>3</v>
      </c>
      <c r="F237" s="12">
        <v>104</v>
      </c>
      <c r="G237">
        <v>1702</v>
      </c>
      <c r="H237" s="13">
        <v>176973.25</v>
      </c>
      <c r="I237" s="1">
        <v>43575</v>
      </c>
      <c r="J237">
        <v>4</v>
      </c>
      <c r="K237">
        <v>165</v>
      </c>
      <c r="L237">
        <v>58</v>
      </c>
      <c r="M237" t="s">
        <v>159</v>
      </c>
      <c r="N237" t="s">
        <v>154</v>
      </c>
    </row>
    <row r="238" spans="1:14" x14ac:dyDescent="0.25">
      <c r="A238" t="s">
        <v>90</v>
      </c>
      <c r="B238" t="s">
        <v>86</v>
      </c>
      <c r="C238" s="1">
        <v>43995</v>
      </c>
      <c r="D238" t="s">
        <v>128</v>
      </c>
      <c r="E238">
        <v>3</v>
      </c>
      <c r="F238" s="12">
        <v>104</v>
      </c>
      <c r="G238">
        <v>1064</v>
      </c>
      <c r="H238" s="13">
        <v>110621.25</v>
      </c>
      <c r="I238" s="1">
        <v>44300</v>
      </c>
      <c r="J238">
        <v>4</v>
      </c>
      <c r="K238">
        <v>200</v>
      </c>
      <c r="L238">
        <v>66</v>
      </c>
      <c r="M238" t="s">
        <v>165</v>
      </c>
      <c r="N238" t="s">
        <v>154</v>
      </c>
    </row>
    <row r="239" spans="1:14" x14ac:dyDescent="0.25">
      <c r="A239" t="s">
        <v>93</v>
      </c>
      <c r="B239" t="s">
        <v>94</v>
      </c>
      <c r="C239" s="1">
        <v>43618</v>
      </c>
      <c r="D239" t="s">
        <v>128</v>
      </c>
      <c r="E239">
        <v>3</v>
      </c>
      <c r="F239" s="12">
        <v>104</v>
      </c>
      <c r="G239">
        <v>568</v>
      </c>
      <c r="H239" s="13">
        <v>59037.25</v>
      </c>
      <c r="I239" s="1">
        <v>43773</v>
      </c>
      <c r="J239">
        <v>11</v>
      </c>
      <c r="K239">
        <v>204</v>
      </c>
      <c r="L239">
        <v>27</v>
      </c>
      <c r="M239" t="s">
        <v>158</v>
      </c>
      <c r="N239" t="s">
        <v>154</v>
      </c>
    </row>
    <row r="240" spans="1:14" x14ac:dyDescent="0.25">
      <c r="A240" t="s">
        <v>93</v>
      </c>
      <c r="B240" t="s">
        <v>94</v>
      </c>
      <c r="C240" s="1">
        <v>43618</v>
      </c>
      <c r="D240" t="s">
        <v>128</v>
      </c>
      <c r="E240">
        <v>3</v>
      </c>
      <c r="F240" s="12">
        <v>104</v>
      </c>
      <c r="G240">
        <v>483</v>
      </c>
      <c r="H240" s="13">
        <v>50197.25</v>
      </c>
      <c r="I240" s="1">
        <v>44008</v>
      </c>
      <c r="J240">
        <v>6</v>
      </c>
      <c r="K240">
        <v>46</v>
      </c>
      <c r="L240">
        <v>63</v>
      </c>
      <c r="M240" t="s">
        <v>157</v>
      </c>
      <c r="N240" t="s">
        <v>153</v>
      </c>
    </row>
    <row r="241" spans="1:14" x14ac:dyDescent="0.25">
      <c r="A241" t="s">
        <v>115</v>
      </c>
      <c r="B241" t="s">
        <v>109</v>
      </c>
      <c r="C241" s="1">
        <v>43357</v>
      </c>
      <c r="D241" t="s">
        <v>128</v>
      </c>
      <c r="E241">
        <v>3</v>
      </c>
      <c r="F241" s="12">
        <v>104</v>
      </c>
      <c r="G241">
        <v>1910</v>
      </c>
      <c r="H241" s="13">
        <v>198605.25</v>
      </c>
      <c r="I241" s="1">
        <v>43917</v>
      </c>
      <c r="J241">
        <v>3</v>
      </c>
      <c r="K241">
        <v>92</v>
      </c>
      <c r="L241">
        <v>37</v>
      </c>
      <c r="M241" t="s">
        <v>161</v>
      </c>
      <c r="N241" t="s">
        <v>153</v>
      </c>
    </row>
    <row r="242" spans="1:14" x14ac:dyDescent="0.25">
      <c r="A242" t="s">
        <v>41</v>
      </c>
      <c r="B242" t="s">
        <v>36</v>
      </c>
      <c r="C242" s="1">
        <v>42880</v>
      </c>
      <c r="D242" t="s">
        <v>128</v>
      </c>
      <c r="E242">
        <v>3</v>
      </c>
      <c r="F242" s="12">
        <v>104</v>
      </c>
      <c r="G242">
        <v>751</v>
      </c>
      <c r="H242" s="13">
        <v>78069.25</v>
      </c>
      <c r="I242" s="1">
        <v>43605</v>
      </c>
      <c r="J242">
        <v>5</v>
      </c>
      <c r="K242">
        <v>454</v>
      </c>
      <c r="L242">
        <v>36</v>
      </c>
      <c r="M242" t="s">
        <v>161</v>
      </c>
      <c r="N242" t="s">
        <v>153</v>
      </c>
    </row>
    <row r="243" spans="1:14" x14ac:dyDescent="0.25">
      <c r="A243" t="s">
        <v>31</v>
      </c>
      <c r="B243" t="s">
        <v>27</v>
      </c>
      <c r="C243" s="1">
        <v>42433</v>
      </c>
      <c r="D243" t="s">
        <v>128</v>
      </c>
      <c r="E243">
        <v>3</v>
      </c>
      <c r="F243" s="12">
        <v>104</v>
      </c>
      <c r="G243">
        <v>1222</v>
      </c>
      <c r="H243" s="13">
        <v>127053.25</v>
      </c>
      <c r="I243" s="1">
        <v>42784</v>
      </c>
      <c r="J243">
        <v>2</v>
      </c>
      <c r="K243">
        <v>535</v>
      </c>
      <c r="L243">
        <v>59</v>
      </c>
      <c r="M243" t="s">
        <v>159</v>
      </c>
      <c r="N243" t="s">
        <v>154</v>
      </c>
    </row>
    <row r="244" spans="1:14" x14ac:dyDescent="0.25">
      <c r="A244" t="s">
        <v>75</v>
      </c>
      <c r="B244" t="s">
        <v>76</v>
      </c>
      <c r="C244" s="1">
        <v>43003</v>
      </c>
      <c r="D244" t="s">
        <v>128</v>
      </c>
      <c r="E244">
        <v>3</v>
      </c>
      <c r="F244" s="12">
        <v>104</v>
      </c>
      <c r="G244">
        <v>749</v>
      </c>
      <c r="H244" s="13">
        <v>77861.25</v>
      </c>
      <c r="I244" s="1">
        <v>43319</v>
      </c>
      <c r="J244">
        <v>8</v>
      </c>
      <c r="K244">
        <v>9</v>
      </c>
      <c r="L244">
        <v>48</v>
      </c>
      <c r="M244" t="s">
        <v>163</v>
      </c>
      <c r="N244" t="s">
        <v>154</v>
      </c>
    </row>
    <row r="245" spans="1:14" x14ac:dyDescent="0.25">
      <c r="A245" t="s">
        <v>103</v>
      </c>
      <c r="B245" t="s">
        <v>100</v>
      </c>
      <c r="C245" s="1">
        <v>42080</v>
      </c>
      <c r="D245" t="s">
        <v>128</v>
      </c>
      <c r="E245">
        <v>3</v>
      </c>
      <c r="F245" s="12">
        <v>104</v>
      </c>
      <c r="G245">
        <v>367</v>
      </c>
      <c r="H245" s="13">
        <v>38133.25</v>
      </c>
      <c r="I245" s="1">
        <v>43614</v>
      </c>
      <c r="J245">
        <v>5</v>
      </c>
      <c r="K245">
        <v>306</v>
      </c>
      <c r="L245">
        <v>55</v>
      </c>
      <c r="M245" t="s">
        <v>156</v>
      </c>
      <c r="N245" t="s">
        <v>154</v>
      </c>
    </row>
    <row r="246" spans="1:14" x14ac:dyDescent="0.25">
      <c r="A246" t="s">
        <v>34</v>
      </c>
      <c r="B246" t="s">
        <v>30</v>
      </c>
      <c r="C246" s="1">
        <v>43765</v>
      </c>
      <c r="D246" t="s">
        <v>128</v>
      </c>
      <c r="E246">
        <v>3</v>
      </c>
      <c r="F246" s="12">
        <v>104</v>
      </c>
      <c r="G246">
        <v>328</v>
      </c>
      <c r="H246" s="13">
        <v>34077.25</v>
      </c>
      <c r="I246" s="1">
        <v>43833</v>
      </c>
      <c r="J246">
        <v>1</v>
      </c>
      <c r="K246">
        <v>73</v>
      </c>
      <c r="L246">
        <v>56</v>
      </c>
      <c r="M246" t="s">
        <v>159</v>
      </c>
      <c r="N246" t="s">
        <v>154</v>
      </c>
    </row>
    <row r="247" spans="1:14" x14ac:dyDescent="0.25">
      <c r="A247" t="s">
        <v>95</v>
      </c>
      <c r="B247" t="s">
        <v>96</v>
      </c>
      <c r="C247" s="1">
        <v>43758</v>
      </c>
      <c r="D247" t="s">
        <v>128</v>
      </c>
      <c r="E247">
        <v>3</v>
      </c>
      <c r="F247" s="12">
        <v>104</v>
      </c>
      <c r="G247">
        <v>626</v>
      </c>
      <c r="H247" s="13">
        <v>65069.25</v>
      </c>
      <c r="I247" s="1">
        <v>44138</v>
      </c>
      <c r="J247">
        <v>11</v>
      </c>
      <c r="K247">
        <v>584</v>
      </c>
      <c r="L247">
        <v>52</v>
      </c>
      <c r="M247" t="s">
        <v>156</v>
      </c>
      <c r="N247" t="s">
        <v>153</v>
      </c>
    </row>
    <row r="248" spans="1:14" x14ac:dyDescent="0.25">
      <c r="A248" t="s">
        <v>105</v>
      </c>
      <c r="B248" t="s">
        <v>106</v>
      </c>
      <c r="C248" s="1">
        <v>43451</v>
      </c>
      <c r="D248" t="s">
        <v>128</v>
      </c>
      <c r="E248">
        <v>3</v>
      </c>
      <c r="F248" s="12">
        <v>104</v>
      </c>
      <c r="G248">
        <v>548</v>
      </c>
      <c r="H248" s="13">
        <v>56957.25</v>
      </c>
      <c r="I248" s="1">
        <v>44368</v>
      </c>
      <c r="J248">
        <v>6</v>
      </c>
      <c r="K248">
        <v>470</v>
      </c>
      <c r="L248">
        <v>43</v>
      </c>
      <c r="M248" t="s">
        <v>162</v>
      </c>
      <c r="N248" t="s">
        <v>153</v>
      </c>
    </row>
    <row r="249" spans="1:14" x14ac:dyDescent="0.25">
      <c r="A249" t="s">
        <v>116</v>
      </c>
      <c r="B249" t="s">
        <v>110</v>
      </c>
      <c r="C249" s="1">
        <v>42277</v>
      </c>
      <c r="D249" t="s">
        <v>128</v>
      </c>
      <c r="E249">
        <v>3</v>
      </c>
      <c r="F249" s="12">
        <v>104</v>
      </c>
      <c r="G249">
        <v>1308</v>
      </c>
      <c r="H249" s="13">
        <v>135997.25</v>
      </c>
      <c r="I249" s="1">
        <v>43923</v>
      </c>
      <c r="J249">
        <v>4</v>
      </c>
      <c r="K249">
        <v>427</v>
      </c>
      <c r="L249">
        <v>70</v>
      </c>
      <c r="M249" t="s">
        <v>165</v>
      </c>
      <c r="N249" t="s">
        <v>154</v>
      </c>
    </row>
    <row r="250" spans="1:14" x14ac:dyDescent="0.25">
      <c r="A250" t="s">
        <v>46</v>
      </c>
      <c r="B250" t="s">
        <v>39</v>
      </c>
      <c r="C250" s="1">
        <v>43490</v>
      </c>
      <c r="D250" t="s">
        <v>128</v>
      </c>
      <c r="E250">
        <v>3</v>
      </c>
      <c r="F250" s="12">
        <v>104</v>
      </c>
      <c r="G250">
        <v>1603</v>
      </c>
      <c r="H250" s="13">
        <v>166677.25</v>
      </c>
      <c r="I250" s="1">
        <v>43561</v>
      </c>
      <c r="J250">
        <v>4</v>
      </c>
      <c r="K250">
        <v>75</v>
      </c>
      <c r="L250">
        <v>59</v>
      </c>
      <c r="M250" t="s">
        <v>159</v>
      </c>
      <c r="N250" t="s">
        <v>153</v>
      </c>
    </row>
    <row r="251" spans="1:14" x14ac:dyDescent="0.25">
      <c r="A251" t="s">
        <v>31</v>
      </c>
      <c r="B251" t="s">
        <v>27</v>
      </c>
      <c r="C251" s="1">
        <v>42433</v>
      </c>
      <c r="D251" t="s">
        <v>128</v>
      </c>
      <c r="E251">
        <v>3</v>
      </c>
      <c r="F251" s="12">
        <v>104</v>
      </c>
      <c r="G251">
        <v>519</v>
      </c>
      <c r="H251" s="13">
        <v>53941.25</v>
      </c>
      <c r="I251" s="1">
        <v>44340</v>
      </c>
      <c r="J251">
        <v>5</v>
      </c>
      <c r="K251">
        <v>80</v>
      </c>
      <c r="L251">
        <v>54</v>
      </c>
      <c r="M251" t="s">
        <v>156</v>
      </c>
      <c r="N251" t="s">
        <v>153</v>
      </c>
    </row>
    <row r="252" spans="1:14" x14ac:dyDescent="0.25">
      <c r="A252" t="s">
        <v>41</v>
      </c>
      <c r="B252" t="s">
        <v>36</v>
      </c>
      <c r="C252" s="1">
        <v>42880</v>
      </c>
      <c r="D252" t="s">
        <v>128</v>
      </c>
      <c r="E252">
        <v>3</v>
      </c>
      <c r="F252" s="12">
        <v>104</v>
      </c>
      <c r="G252">
        <v>320</v>
      </c>
      <c r="H252" s="13">
        <v>33245.25</v>
      </c>
      <c r="I252" s="1">
        <v>43826</v>
      </c>
      <c r="J252">
        <v>12</v>
      </c>
      <c r="K252">
        <v>229</v>
      </c>
      <c r="L252">
        <v>53</v>
      </c>
      <c r="M252" t="s">
        <v>156</v>
      </c>
      <c r="N252" t="s">
        <v>154</v>
      </c>
    </row>
    <row r="253" spans="1:14" x14ac:dyDescent="0.25">
      <c r="A253" t="s">
        <v>41</v>
      </c>
      <c r="B253" t="s">
        <v>36</v>
      </c>
      <c r="C253" s="1">
        <v>42880</v>
      </c>
      <c r="D253" t="s">
        <v>128</v>
      </c>
      <c r="E253">
        <v>3</v>
      </c>
      <c r="F253" s="12">
        <v>104</v>
      </c>
      <c r="G253">
        <v>346</v>
      </c>
      <c r="H253" s="13">
        <v>35949.25</v>
      </c>
      <c r="I253" s="1">
        <v>43393</v>
      </c>
      <c r="J253">
        <v>10</v>
      </c>
      <c r="K253">
        <v>30</v>
      </c>
      <c r="L253">
        <v>54</v>
      </c>
      <c r="M253" t="s">
        <v>156</v>
      </c>
      <c r="N253" t="s">
        <v>153</v>
      </c>
    </row>
    <row r="254" spans="1:14" x14ac:dyDescent="0.25">
      <c r="A254" t="s">
        <v>63</v>
      </c>
      <c r="B254" t="s">
        <v>58</v>
      </c>
      <c r="C254" s="1">
        <v>43155</v>
      </c>
      <c r="D254" t="s">
        <v>128</v>
      </c>
      <c r="E254">
        <v>3</v>
      </c>
      <c r="F254" s="12">
        <v>104</v>
      </c>
      <c r="G254">
        <v>759</v>
      </c>
      <c r="H254" s="13">
        <v>78901.25</v>
      </c>
      <c r="I254" s="1">
        <v>44144</v>
      </c>
      <c r="J254">
        <v>11</v>
      </c>
      <c r="K254">
        <v>408</v>
      </c>
      <c r="L254">
        <v>58</v>
      </c>
      <c r="M254" t="s">
        <v>159</v>
      </c>
      <c r="N254" t="s">
        <v>154</v>
      </c>
    </row>
    <row r="255" spans="1:14" x14ac:dyDescent="0.25">
      <c r="A255" t="s">
        <v>93</v>
      </c>
      <c r="B255" t="s">
        <v>94</v>
      </c>
      <c r="C255" s="1">
        <v>43618</v>
      </c>
      <c r="D255" t="s">
        <v>128</v>
      </c>
      <c r="E255">
        <v>3</v>
      </c>
      <c r="F255" s="12">
        <v>104</v>
      </c>
      <c r="G255">
        <v>1979</v>
      </c>
      <c r="H255" s="13">
        <v>205781.25</v>
      </c>
      <c r="I255" s="1">
        <v>44258</v>
      </c>
      <c r="J255">
        <v>3</v>
      </c>
      <c r="K255">
        <v>17</v>
      </c>
      <c r="L255">
        <v>28</v>
      </c>
      <c r="M255" t="s">
        <v>158</v>
      </c>
      <c r="N255" t="s">
        <v>153</v>
      </c>
    </row>
    <row r="256" spans="1:14" x14ac:dyDescent="0.25">
      <c r="A256" t="s">
        <v>53</v>
      </c>
      <c r="B256" t="s">
        <v>54</v>
      </c>
      <c r="C256" s="1">
        <v>42816</v>
      </c>
      <c r="D256" t="s">
        <v>128</v>
      </c>
      <c r="E256">
        <v>3</v>
      </c>
      <c r="F256" s="12">
        <v>104</v>
      </c>
      <c r="G256">
        <v>325</v>
      </c>
      <c r="H256" s="13">
        <v>33765.25</v>
      </c>
      <c r="I256" s="1">
        <v>43081</v>
      </c>
      <c r="J256">
        <v>12</v>
      </c>
      <c r="K256">
        <v>63</v>
      </c>
      <c r="L256">
        <v>22</v>
      </c>
      <c r="M256" t="s">
        <v>160</v>
      </c>
      <c r="N256" t="s">
        <v>153</v>
      </c>
    </row>
    <row r="257" spans="1:14" x14ac:dyDescent="0.25">
      <c r="A257" t="s">
        <v>63</v>
      </c>
      <c r="B257" t="s">
        <v>58</v>
      </c>
      <c r="C257" s="1">
        <v>43155</v>
      </c>
      <c r="D257" t="s">
        <v>128</v>
      </c>
      <c r="E257">
        <v>3</v>
      </c>
      <c r="F257" s="12">
        <v>104</v>
      </c>
      <c r="G257">
        <v>272</v>
      </c>
      <c r="H257" s="13">
        <v>28253.25</v>
      </c>
      <c r="I257" s="1">
        <v>44319</v>
      </c>
      <c r="J257">
        <v>5</v>
      </c>
      <c r="K257">
        <v>123</v>
      </c>
      <c r="L257">
        <v>20</v>
      </c>
      <c r="M257" t="s">
        <v>160</v>
      </c>
      <c r="N257" t="s">
        <v>153</v>
      </c>
    </row>
    <row r="258" spans="1:14" x14ac:dyDescent="0.25">
      <c r="A258" t="s">
        <v>105</v>
      </c>
      <c r="B258" t="s">
        <v>106</v>
      </c>
      <c r="C258" s="1">
        <v>43451</v>
      </c>
      <c r="D258" t="s">
        <v>128</v>
      </c>
      <c r="E258">
        <v>3</v>
      </c>
      <c r="F258" s="12">
        <v>104</v>
      </c>
      <c r="G258">
        <v>555</v>
      </c>
      <c r="H258" s="13">
        <v>57685.25</v>
      </c>
      <c r="I258" s="1">
        <v>44423</v>
      </c>
      <c r="J258">
        <v>8</v>
      </c>
      <c r="K258">
        <v>290</v>
      </c>
      <c r="L258">
        <v>58</v>
      </c>
      <c r="M258" t="s">
        <v>159</v>
      </c>
      <c r="N258" t="s">
        <v>154</v>
      </c>
    </row>
    <row r="259" spans="1:14" x14ac:dyDescent="0.25">
      <c r="A259" t="s">
        <v>82</v>
      </c>
      <c r="B259" t="s">
        <v>79</v>
      </c>
      <c r="C259" s="1">
        <v>43278</v>
      </c>
      <c r="D259" t="s">
        <v>128</v>
      </c>
      <c r="E259">
        <v>3</v>
      </c>
      <c r="F259" s="12">
        <v>104</v>
      </c>
      <c r="G259">
        <v>1574</v>
      </c>
      <c r="H259" s="13">
        <v>163661.25</v>
      </c>
      <c r="I259" s="1">
        <v>43518</v>
      </c>
      <c r="J259">
        <v>2</v>
      </c>
      <c r="K259">
        <v>47</v>
      </c>
      <c r="L259">
        <v>60</v>
      </c>
      <c r="M259" t="s">
        <v>159</v>
      </c>
      <c r="N259" t="s">
        <v>154</v>
      </c>
    </row>
    <row r="260" spans="1:14" x14ac:dyDescent="0.25">
      <c r="A260" t="s">
        <v>75</v>
      </c>
      <c r="B260" t="s">
        <v>76</v>
      </c>
      <c r="C260" s="1">
        <v>43003</v>
      </c>
      <c r="D260" t="s">
        <v>128</v>
      </c>
      <c r="E260">
        <v>3</v>
      </c>
      <c r="F260" s="12">
        <v>104</v>
      </c>
      <c r="G260">
        <v>469</v>
      </c>
      <c r="H260" s="13">
        <v>48741.25</v>
      </c>
      <c r="I260" s="1">
        <v>44044</v>
      </c>
      <c r="J260">
        <v>8</v>
      </c>
      <c r="K260">
        <v>310</v>
      </c>
      <c r="L260">
        <v>52</v>
      </c>
      <c r="M260" t="s">
        <v>156</v>
      </c>
      <c r="N260" t="s">
        <v>154</v>
      </c>
    </row>
    <row r="261" spans="1:14" x14ac:dyDescent="0.25">
      <c r="A261" t="s">
        <v>72</v>
      </c>
      <c r="B261" t="s">
        <v>67</v>
      </c>
      <c r="C261" s="1">
        <v>43827</v>
      </c>
      <c r="D261" t="s">
        <v>128</v>
      </c>
      <c r="E261">
        <v>3</v>
      </c>
      <c r="F261" s="12">
        <v>104</v>
      </c>
      <c r="G261">
        <v>467</v>
      </c>
      <c r="H261" s="13">
        <v>48533.25</v>
      </c>
      <c r="I261" s="1">
        <v>44211</v>
      </c>
      <c r="J261">
        <v>1</v>
      </c>
      <c r="K261">
        <v>23</v>
      </c>
      <c r="L261">
        <v>48</v>
      </c>
      <c r="M261" t="s">
        <v>163</v>
      </c>
      <c r="N261" t="s">
        <v>154</v>
      </c>
    </row>
    <row r="262" spans="1:14" x14ac:dyDescent="0.25">
      <c r="A262" t="s">
        <v>115</v>
      </c>
      <c r="B262" t="s">
        <v>109</v>
      </c>
      <c r="C262" s="1">
        <v>43357</v>
      </c>
      <c r="D262" t="s">
        <v>128</v>
      </c>
      <c r="E262">
        <v>3</v>
      </c>
      <c r="F262" s="12">
        <v>104</v>
      </c>
      <c r="G262">
        <v>806</v>
      </c>
      <c r="H262" s="13">
        <v>83789.25</v>
      </c>
      <c r="I262" s="1">
        <v>44271</v>
      </c>
      <c r="J262">
        <v>3</v>
      </c>
      <c r="K262">
        <v>248</v>
      </c>
      <c r="L262">
        <v>22</v>
      </c>
      <c r="M262" t="s">
        <v>160</v>
      </c>
      <c r="N262" t="s">
        <v>153</v>
      </c>
    </row>
    <row r="263" spans="1:14" x14ac:dyDescent="0.25">
      <c r="A263" t="s">
        <v>80</v>
      </c>
      <c r="B263" t="s">
        <v>77</v>
      </c>
      <c r="C263" s="1">
        <v>43282</v>
      </c>
      <c r="D263" t="s">
        <v>128</v>
      </c>
      <c r="E263">
        <v>3</v>
      </c>
      <c r="F263" s="12">
        <v>104</v>
      </c>
      <c r="G263">
        <v>289</v>
      </c>
      <c r="H263" s="13">
        <v>30021.25</v>
      </c>
      <c r="I263" s="1">
        <v>43736</v>
      </c>
      <c r="J263">
        <v>9</v>
      </c>
      <c r="K263">
        <v>540</v>
      </c>
      <c r="L263">
        <v>55</v>
      </c>
      <c r="M263" t="s">
        <v>156</v>
      </c>
      <c r="N263" t="s">
        <v>154</v>
      </c>
    </row>
    <row r="264" spans="1:14" x14ac:dyDescent="0.25">
      <c r="A264" t="s">
        <v>95</v>
      </c>
      <c r="B264" t="s">
        <v>96</v>
      </c>
      <c r="C264" s="1">
        <v>43758</v>
      </c>
      <c r="D264" t="s">
        <v>128</v>
      </c>
      <c r="E264">
        <v>3</v>
      </c>
      <c r="F264" s="12">
        <v>104</v>
      </c>
      <c r="G264">
        <v>1078</v>
      </c>
      <c r="H264" s="13">
        <v>112077.25</v>
      </c>
      <c r="I264" s="1">
        <v>44278</v>
      </c>
      <c r="J264">
        <v>3</v>
      </c>
      <c r="K264">
        <v>500</v>
      </c>
      <c r="L264">
        <v>47</v>
      </c>
      <c r="M264" t="s">
        <v>163</v>
      </c>
      <c r="N264" t="s">
        <v>154</v>
      </c>
    </row>
    <row r="265" spans="1:14" x14ac:dyDescent="0.25">
      <c r="A265" t="s">
        <v>35</v>
      </c>
      <c r="B265" t="s">
        <v>3</v>
      </c>
      <c r="C265" s="1">
        <v>42465</v>
      </c>
      <c r="D265" t="s">
        <v>128</v>
      </c>
      <c r="E265">
        <v>3</v>
      </c>
      <c r="F265" s="12">
        <v>104</v>
      </c>
      <c r="G265">
        <v>310</v>
      </c>
      <c r="H265" s="13">
        <v>32205.25</v>
      </c>
      <c r="I265" s="1">
        <v>43119</v>
      </c>
      <c r="J265">
        <v>1</v>
      </c>
      <c r="K265">
        <v>146</v>
      </c>
      <c r="L265">
        <v>56</v>
      </c>
      <c r="M265" t="s">
        <v>159</v>
      </c>
      <c r="N265" t="s">
        <v>154</v>
      </c>
    </row>
    <row r="266" spans="1:14" x14ac:dyDescent="0.25">
      <c r="A266" t="s">
        <v>102</v>
      </c>
      <c r="B266" t="s">
        <v>99</v>
      </c>
      <c r="C266" s="1">
        <v>43488</v>
      </c>
      <c r="D266" t="s">
        <v>128</v>
      </c>
      <c r="E266">
        <v>3</v>
      </c>
      <c r="F266" s="12">
        <v>104</v>
      </c>
      <c r="G266">
        <v>235</v>
      </c>
      <c r="H266" s="13">
        <v>24405.25</v>
      </c>
      <c r="I266" s="1">
        <v>44223</v>
      </c>
      <c r="J266">
        <v>1</v>
      </c>
      <c r="K266">
        <v>309</v>
      </c>
      <c r="L266">
        <v>55</v>
      </c>
      <c r="M266" t="s">
        <v>156</v>
      </c>
      <c r="N266" t="s">
        <v>154</v>
      </c>
    </row>
    <row r="267" spans="1:14" x14ac:dyDescent="0.25">
      <c r="A267" t="s">
        <v>114</v>
      </c>
      <c r="B267" t="s">
        <v>108</v>
      </c>
      <c r="C267" s="1">
        <v>42808</v>
      </c>
      <c r="D267" t="s">
        <v>128</v>
      </c>
      <c r="E267">
        <v>3</v>
      </c>
      <c r="F267" s="12">
        <v>104</v>
      </c>
      <c r="G267">
        <v>140</v>
      </c>
      <c r="H267" s="13">
        <v>14525.25</v>
      </c>
      <c r="I267" s="1">
        <v>43473</v>
      </c>
      <c r="J267">
        <v>1</v>
      </c>
      <c r="K267">
        <v>119</v>
      </c>
      <c r="L267">
        <v>59</v>
      </c>
      <c r="M267" t="s">
        <v>159</v>
      </c>
      <c r="N267" t="s">
        <v>154</v>
      </c>
    </row>
    <row r="268" spans="1:14" x14ac:dyDescent="0.25">
      <c r="A268" t="s">
        <v>41</v>
      </c>
      <c r="B268" t="s">
        <v>36</v>
      </c>
      <c r="C268" s="1">
        <v>42880</v>
      </c>
      <c r="D268" t="s">
        <v>128</v>
      </c>
      <c r="E268">
        <v>3</v>
      </c>
      <c r="F268" s="12">
        <v>104</v>
      </c>
      <c r="G268">
        <v>619</v>
      </c>
      <c r="H268" s="13">
        <v>64341.25</v>
      </c>
      <c r="I268" s="1">
        <v>44409</v>
      </c>
      <c r="J268">
        <v>8</v>
      </c>
      <c r="K268">
        <v>154</v>
      </c>
      <c r="L268">
        <v>35</v>
      </c>
      <c r="M268" t="s">
        <v>164</v>
      </c>
      <c r="N268" t="s">
        <v>153</v>
      </c>
    </row>
    <row r="269" spans="1:14" x14ac:dyDescent="0.25">
      <c r="A269" t="s">
        <v>73</v>
      </c>
      <c r="B269" t="s">
        <v>68</v>
      </c>
      <c r="C269" s="1">
        <v>43097</v>
      </c>
      <c r="D269" t="s">
        <v>128</v>
      </c>
      <c r="E269">
        <v>3</v>
      </c>
      <c r="F269" s="12">
        <v>104</v>
      </c>
      <c r="G269">
        <v>977</v>
      </c>
      <c r="H269" s="13">
        <v>101573.25</v>
      </c>
      <c r="I269" s="1">
        <v>43206</v>
      </c>
      <c r="J269">
        <v>4</v>
      </c>
      <c r="K269">
        <v>310</v>
      </c>
      <c r="L269">
        <v>52</v>
      </c>
      <c r="M269" t="s">
        <v>156</v>
      </c>
      <c r="N269" t="s">
        <v>154</v>
      </c>
    </row>
    <row r="270" spans="1:14" x14ac:dyDescent="0.25">
      <c r="A270" t="s">
        <v>116</v>
      </c>
      <c r="B270" t="s">
        <v>110</v>
      </c>
      <c r="C270" s="1">
        <v>42277</v>
      </c>
      <c r="D270" t="s">
        <v>128</v>
      </c>
      <c r="E270">
        <v>3</v>
      </c>
      <c r="F270" s="12">
        <v>104</v>
      </c>
      <c r="G270">
        <v>471</v>
      </c>
      <c r="H270" s="13">
        <v>48949.25</v>
      </c>
      <c r="I270" s="1">
        <v>43483</v>
      </c>
      <c r="J270">
        <v>1</v>
      </c>
      <c r="K270">
        <v>45</v>
      </c>
      <c r="L270">
        <v>43</v>
      </c>
      <c r="M270" t="s">
        <v>162</v>
      </c>
      <c r="N270" t="s">
        <v>153</v>
      </c>
    </row>
    <row r="271" spans="1:14" x14ac:dyDescent="0.25">
      <c r="A271" t="s">
        <v>34</v>
      </c>
      <c r="B271" t="s">
        <v>30</v>
      </c>
      <c r="C271" s="1">
        <v>43765</v>
      </c>
      <c r="D271" t="s">
        <v>128</v>
      </c>
      <c r="E271">
        <v>3</v>
      </c>
      <c r="F271" s="12">
        <v>104</v>
      </c>
      <c r="G271">
        <v>177</v>
      </c>
      <c r="H271" s="13">
        <v>18373.25</v>
      </c>
      <c r="I271" s="1">
        <v>43985</v>
      </c>
      <c r="J271">
        <v>6</v>
      </c>
      <c r="K271">
        <v>57</v>
      </c>
      <c r="L271">
        <v>59</v>
      </c>
      <c r="M271" t="s">
        <v>159</v>
      </c>
      <c r="N271" t="s">
        <v>154</v>
      </c>
    </row>
    <row r="272" spans="1:14" x14ac:dyDescent="0.25">
      <c r="A272" t="s">
        <v>97</v>
      </c>
      <c r="B272" t="s">
        <v>98</v>
      </c>
      <c r="C272" s="1">
        <v>42388</v>
      </c>
      <c r="D272" t="s">
        <v>128</v>
      </c>
      <c r="E272">
        <v>3</v>
      </c>
      <c r="F272" s="12">
        <v>104</v>
      </c>
      <c r="G272">
        <v>292</v>
      </c>
      <c r="H272" s="13">
        <v>30333.25</v>
      </c>
      <c r="I272" s="1">
        <v>44072</v>
      </c>
      <c r="J272">
        <v>8</v>
      </c>
      <c r="K272">
        <v>489</v>
      </c>
      <c r="L272">
        <v>47</v>
      </c>
      <c r="M272" t="s">
        <v>163</v>
      </c>
      <c r="N272" t="s">
        <v>154</v>
      </c>
    </row>
    <row r="273" spans="1:14" x14ac:dyDescent="0.25">
      <c r="A273" t="s">
        <v>61</v>
      </c>
      <c r="B273" t="s">
        <v>56</v>
      </c>
      <c r="C273" s="1">
        <v>42607</v>
      </c>
      <c r="D273" t="s">
        <v>128</v>
      </c>
      <c r="E273">
        <v>3</v>
      </c>
      <c r="F273" s="12">
        <v>104</v>
      </c>
      <c r="G273">
        <v>766</v>
      </c>
      <c r="H273" s="13">
        <v>79629.25</v>
      </c>
      <c r="I273" s="1">
        <v>44206</v>
      </c>
      <c r="J273">
        <v>1</v>
      </c>
      <c r="K273">
        <v>526</v>
      </c>
      <c r="L273">
        <v>60</v>
      </c>
      <c r="M273" t="s">
        <v>159</v>
      </c>
      <c r="N273" t="s">
        <v>154</v>
      </c>
    </row>
    <row r="274" spans="1:14" x14ac:dyDescent="0.25">
      <c r="A274" t="s">
        <v>74</v>
      </c>
      <c r="B274" t="s">
        <v>69</v>
      </c>
      <c r="C274" s="1">
        <v>42228</v>
      </c>
      <c r="D274" t="s">
        <v>128</v>
      </c>
      <c r="E274">
        <v>3</v>
      </c>
      <c r="F274" s="12">
        <v>104</v>
      </c>
      <c r="G274">
        <v>208</v>
      </c>
      <c r="H274" s="13">
        <v>21597.25</v>
      </c>
      <c r="I274" s="1">
        <v>42981</v>
      </c>
      <c r="J274">
        <v>9</v>
      </c>
      <c r="K274">
        <v>166</v>
      </c>
      <c r="L274">
        <v>65</v>
      </c>
      <c r="M274" t="s">
        <v>157</v>
      </c>
      <c r="N274" t="s">
        <v>154</v>
      </c>
    </row>
    <row r="275" spans="1:14" x14ac:dyDescent="0.25">
      <c r="A275" t="s">
        <v>95</v>
      </c>
      <c r="B275" t="s">
        <v>96</v>
      </c>
      <c r="C275" s="1">
        <v>43758</v>
      </c>
      <c r="D275" t="s">
        <v>128</v>
      </c>
      <c r="E275">
        <v>3</v>
      </c>
      <c r="F275" s="12">
        <v>104</v>
      </c>
      <c r="G275">
        <v>1565</v>
      </c>
      <c r="H275" s="13">
        <v>162725.25</v>
      </c>
      <c r="I275" s="1">
        <v>43927</v>
      </c>
      <c r="J275">
        <v>4</v>
      </c>
      <c r="K275">
        <v>215</v>
      </c>
      <c r="L275">
        <v>55</v>
      </c>
      <c r="M275" t="s">
        <v>156</v>
      </c>
      <c r="N275" t="s">
        <v>154</v>
      </c>
    </row>
    <row r="276" spans="1:14" x14ac:dyDescent="0.25">
      <c r="A276" t="s">
        <v>117</v>
      </c>
      <c r="B276" t="s">
        <v>111</v>
      </c>
      <c r="C276" s="1">
        <v>42729</v>
      </c>
      <c r="D276" t="s">
        <v>128</v>
      </c>
      <c r="E276">
        <v>3</v>
      </c>
      <c r="F276" s="12">
        <v>104</v>
      </c>
      <c r="G276">
        <v>345</v>
      </c>
      <c r="H276" s="13">
        <v>35845.25</v>
      </c>
      <c r="I276" s="1">
        <v>43612</v>
      </c>
      <c r="J276">
        <v>5</v>
      </c>
      <c r="K276">
        <v>508</v>
      </c>
      <c r="L276">
        <v>52</v>
      </c>
      <c r="M276" t="s">
        <v>156</v>
      </c>
      <c r="N276" t="s">
        <v>154</v>
      </c>
    </row>
    <row r="277" spans="1:14" x14ac:dyDescent="0.25">
      <c r="A277" t="s">
        <v>80</v>
      </c>
      <c r="B277" t="s">
        <v>77</v>
      </c>
      <c r="C277" s="1">
        <v>43282</v>
      </c>
      <c r="D277" t="s">
        <v>128</v>
      </c>
      <c r="E277">
        <v>3</v>
      </c>
      <c r="F277" s="12">
        <v>104</v>
      </c>
      <c r="G277">
        <v>392</v>
      </c>
      <c r="H277" s="13">
        <v>40733.25</v>
      </c>
      <c r="I277" s="1">
        <v>44054</v>
      </c>
      <c r="J277">
        <v>8</v>
      </c>
      <c r="K277">
        <v>209</v>
      </c>
      <c r="L277">
        <v>40</v>
      </c>
      <c r="M277" t="s">
        <v>161</v>
      </c>
      <c r="N277" t="s">
        <v>153</v>
      </c>
    </row>
    <row r="278" spans="1:14" x14ac:dyDescent="0.25">
      <c r="A278" t="s">
        <v>33</v>
      </c>
      <c r="B278" t="s">
        <v>29</v>
      </c>
      <c r="C278" s="1">
        <v>42795</v>
      </c>
      <c r="D278" t="s">
        <v>128</v>
      </c>
      <c r="E278">
        <v>3</v>
      </c>
      <c r="F278" s="12">
        <v>104</v>
      </c>
      <c r="G278">
        <v>492</v>
      </c>
      <c r="H278" s="13">
        <v>51133.25</v>
      </c>
      <c r="I278" s="1">
        <v>43034</v>
      </c>
      <c r="J278">
        <v>10</v>
      </c>
      <c r="K278">
        <v>162</v>
      </c>
      <c r="L278">
        <v>36</v>
      </c>
      <c r="M278" t="s">
        <v>161</v>
      </c>
      <c r="N278" t="s">
        <v>153</v>
      </c>
    </row>
    <row r="279" spans="1:14" x14ac:dyDescent="0.25">
      <c r="A279" t="s">
        <v>51</v>
      </c>
      <c r="B279" t="s">
        <v>49</v>
      </c>
      <c r="C279" s="1">
        <v>42394</v>
      </c>
      <c r="D279" t="s">
        <v>128</v>
      </c>
      <c r="E279">
        <v>3</v>
      </c>
      <c r="F279" s="12">
        <v>104</v>
      </c>
      <c r="G279">
        <v>1314</v>
      </c>
      <c r="H279" s="13">
        <v>136621.25</v>
      </c>
      <c r="I279" s="1">
        <v>44269</v>
      </c>
      <c r="J279">
        <v>3</v>
      </c>
      <c r="K279">
        <v>11</v>
      </c>
      <c r="L279">
        <v>57</v>
      </c>
      <c r="M279" t="s">
        <v>159</v>
      </c>
      <c r="N279" t="s">
        <v>154</v>
      </c>
    </row>
    <row r="280" spans="1:14" x14ac:dyDescent="0.25">
      <c r="A280" t="s">
        <v>53</v>
      </c>
      <c r="B280" t="s">
        <v>54</v>
      </c>
      <c r="C280" s="1">
        <v>42816</v>
      </c>
      <c r="D280" t="s">
        <v>128</v>
      </c>
      <c r="E280">
        <v>3</v>
      </c>
      <c r="F280" s="12">
        <v>104</v>
      </c>
      <c r="G280">
        <v>426</v>
      </c>
      <c r="H280" s="13">
        <v>44269.25</v>
      </c>
      <c r="I280" s="1">
        <v>43262</v>
      </c>
      <c r="J280">
        <v>6</v>
      </c>
      <c r="K280">
        <v>516</v>
      </c>
      <c r="L280">
        <v>38</v>
      </c>
      <c r="M280" t="s">
        <v>161</v>
      </c>
      <c r="N280" t="s">
        <v>153</v>
      </c>
    </row>
    <row r="281" spans="1:14" x14ac:dyDescent="0.25">
      <c r="A281" t="s">
        <v>32</v>
      </c>
      <c r="B281" t="s">
        <v>28</v>
      </c>
      <c r="C281" s="1">
        <v>43161</v>
      </c>
      <c r="D281" t="s">
        <v>128</v>
      </c>
      <c r="E281">
        <v>3</v>
      </c>
      <c r="F281" s="12">
        <v>104</v>
      </c>
      <c r="G281">
        <v>1115</v>
      </c>
      <c r="H281" s="13">
        <v>115925.25</v>
      </c>
      <c r="I281" s="1">
        <v>43931</v>
      </c>
      <c r="J281">
        <v>4</v>
      </c>
      <c r="K281">
        <v>533</v>
      </c>
      <c r="L281">
        <v>25</v>
      </c>
      <c r="M281" t="s">
        <v>160</v>
      </c>
      <c r="N281" t="s">
        <v>154</v>
      </c>
    </row>
    <row r="282" spans="1:14" x14ac:dyDescent="0.25">
      <c r="A282" t="s">
        <v>44</v>
      </c>
      <c r="B282" t="s">
        <v>2</v>
      </c>
      <c r="C282" s="1">
        <v>42641</v>
      </c>
      <c r="D282" t="s">
        <v>128</v>
      </c>
      <c r="E282">
        <v>3</v>
      </c>
      <c r="F282" s="12">
        <v>104</v>
      </c>
      <c r="G282">
        <v>604</v>
      </c>
      <c r="H282" s="13">
        <v>62781.25</v>
      </c>
      <c r="I282" s="1">
        <v>43784</v>
      </c>
      <c r="J282">
        <v>11</v>
      </c>
      <c r="K282">
        <v>374</v>
      </c>
      <c r="L282">
        <v>53</v>
      </c>
      <c r="M282" t="s">
        <v>156</v>
      </c>
      <c r="N282" t="s">
        <v>154</v>
      </c>
    </row>
    <row r="283" spans="1:14" x14ac:dyDescent="0.25">
      <c r="A283" t="s">
        <v>117</v>
      </c>
      <c r="B283" t="s">
        <v>111</v>
      </c>
      <c r="C283" s="1">
        <v>42729</v>
      </c>
      <c r="D283" t="s">
        <v>128</v>
      </c>
      <c r="E283">
        <v>3</v>
      </c>
      <c r="F283" s="12">
        <v>104</v>
      </c>
      <c r="G283">
        <v>776</v>
      </c>
      <c r="H283" s="13">
        <v>80669.25</v>
      </c>
      <c r="I283" s="1">
        <v>43655</v>
      </c>
      <c r="J283">
        <v>7</v>
      </c>
      <c r="K283">
        <v>64</v>
      </c>
      <c r="L283">
        <v>51</v>
      </c>
      <c r="M283" t="s">
        <v>156</v>
      </c>
      <c r="N283" t="s">
        <v>154</v>
      </c>
    </row>
    <row r="284" spans="1:14" x14ac:dyDescent="0.25">
      <c r="A284" t="s">
        <v>80</v>
      </c>
      <c r="B284" t="s">
        <v>77</v>
      </c>
      <c r="C284" s="1">
        <v>43282</v>
      </c>
      <c r="D284" t="s">
        <v>128</v>
      </c>
      <c r="E284">
        <v>3</v>
      </c>
      <c r="F284" s="12">
        <v>104</v>
      </c>
      <c r="G284">
        <v>580</v>
      </c>
      <c r="H284" s="13">
        <v>60285.25</v>
      </c>
      <c r="I284" s="1">
        <v>43307</v>
      </c>
      <c r="J284">
        <v>7</v>
      </c>
      <c r="K284">
        <v>132</v>
      </c>
      <c r="L284">
        <v>58</v>
      </c>
      <c r="M284" t="s">
        <v>159</v>
      </c>
      <c r="N284" t="s">
        <v>154</v>
      </c>
    </row>
    <row r="285" spans="1:14" x14ac:dyDescent="0.25">
      <c r="A285" t="s">
        <v>63</v>
      </c>
      <c r="B285" t="s">
        <v>58</v>
      </c>
      <c r="C285" s="1">
        <v>43155</v>
      </c>
      <c r="D285" t="s">
        <v>128</v>
      </c>
      <c r="E285">
        <v>3</v>
      </c>
      <c r="F285" s="12">
        <v>104</v>
      </c>
      <c r="G285">
        <v>220</v>
      </c>
      <c r="H285" s="13">
        <v>22845.25</v>
      </c>
      <c r="I285" s="1">
        <v>43661</v>
      </c>
      <c r="J285">
        <v>7</v>
      </c>
      <c r="K285">
        <v>392</v>
      </c>
      <c r="L285">
        <v>70</v>
      </c>
      <c r="M285" t="s">
        <v>165</v>
      </c>
      <c r="N285" t="s">
        <v>154</v>
      </c>
    </row>
    <row r="286" spans="1:14" x14ac:dyDescent="0.25">
      <c r="A286" t="s">
        <v>102</v>
      </c>
      <c r="B286" t="s">
        <v>99</v>
      </c>
      <c r="C286" s="1">
        <v>43488</v>
      </c>
      <c r="D286" t="s">
        <v>128</v>
      </c>
      <c r="E286">
        <v>3</v>
      </c>
      <c r="F286" s="12">
        <v>104</v>
      </c>
      <c r="G286">
        <v>1714</v>
      </c>
      <c r="H286" s="13">
        <v>178221.25</v>
      </c>
      <c r="I286" s="1">
        <v>44245</v>
      </c>
      <c r="J286">
        <v>2</v>
      </c>
      <c r="K286">
        <v>391</v>
      </c>
      <c r="L286">
        <v>55</v>
      </c>
      <c r="M286" t="s">
        <v>156</v>
      </c>
      <c r="N286" t="s">
        <v>154</v>
      </c>
    </row>
    <row r="287" spans="1:14" x14ac:dyDescent="0.25">
      <c r="A287" t="s">
        <v>53</v>
      </c>
      <c r="B287" t="s">
        <v>54</v>
      </c>
      <c r="C287" s="1">
        <v>42816</v>
      </c>
      <c r="D287" t="s">
        <v>128</v>
      </c>
      <c r="E287">
        <v>3</v>
      </c>
      <c r="F287" s="12">
        <v>104</v>
      </c>
      <c r="G287">
        <v>798</v>
      </c>
      <c r="H287" s="13">
        <v>82957.25</v>
      </c>
      <c r="I287" s="1">
        <v>44172</v>
      </c>
      <c r="J287">
        <v>12</v>
      </c>
      <c r="K287">
        <v>53</v>
      </c>
      <c r="L287">
        <v>55</v>
      </c>
      <c r="M287" t="s">
        <v>156</v>
      </c>
      <c r="N287" t="s">
        <v>154</v>
      </c>
    </row>
    <row r="288" spans="1:14" x14ac:dyDescent="0.25">
      <c r="A288" t="s">
        <v>104</v>
      </c>
      <c r="B288" t="s">
        <v>101</v>
      </c>
      <c r="C288" s="1">
        <v>43296</v>
      </c>
      <c r="D288" t="s">
        <v>128</v>
      </c>
      <c r="E288">
        <v>3</v>
      </c>
      <c r="F288" s="12">
        <v>104</v>
      </c>
      <c r="G288">
        <v>111</v>
      </c>
      <c r="H288" s="13">
        <v>11509.25</v>
      </c>
      <c r="I288" s="1">
        <v>43728</v>
      </c>
      <c r="J288">
        <v>9</v>
      </c>
      <c r="K288">
        <v>71</v>
      </c>
      <c r="L288">
        <v>53</v>
      </c>
      <c r="M288" t="s">
        <v>156</v>
      </c>
      <c r="N288" t="s">
        <v>154</v>
      </c>
    </row>
    <row r="289" spans="1:14" x14ac:dyDescent="0.25">
      <c r="A289" t="s">
        <v>46</v>
      </c>
      <c r="B289" t="s">
        <v>39</v>
      </c>
      <c r="C289" s="1">
        <v>43490</v>
      </c>
      <c r="D289" t="s">
        <v>128</v>
      </c>
      <c r="E289">
        <v>3</v>
      </c>
      <c r="F289" s="12">
        <v>104</v>
      </c>
      <c r="G289">
        <v>789</v>
      </c>
      <c r="H289" s="13">
        <v>82021.25</v>
      </c>
      <c r="I289" s="1">
        <v>44167</v>
      </c>
      <c r="J289">
        <v>12</v>
      </c>
      <c r="K289">
        <v>345</v>
      </c>
      <c r="L289">
        <v>36</v>
      </c>
      <c r="M289" t="s">
        <v>161</v>
      </c>
      <c r="N289" t="s">
        <v>153</v>
      </c>
    </row>
    <row r="290" spans="1:14" x14ac:dyDescent="0.25">
      <c r="A290" t="s">
        <v>114</v>
      </c>
      <c r="B290" t="s">
        <v>108</v>
      </c>
      <c r="C290" s="1">
        <v>42808</v>
      </c>
      <c r="D290" t="s">
        <v>128</v>
      </c>
      <c r="E290">
        <v>3</v>
      </c>
      <c r="F290" s="12">
        <v>104</v>
      </c>
      <c r="G290">
        <v>1189</v>
      </c>
      <c r="H290" s="13">
        <v>123621.25</v>
      </c>
      <c r="I290" s="1">
        <v>43585</v>
      </c>
      <c r="J290">
        <v>4</v>
      </c>
      <c r="K290">
        <v>364</v>
      </c>
      <c r="L290">
        <v>56</v>
      </c>
      <c r="M290" t="s">
        <v>159</v>
      </c>
      <c r="N290" t="s">
        <v>154</v>
      </c>
    </row>
    <row r="291" spans="1:14" x14ac:dyDescent="0.25">
      <c r="A291" t="s">
        <v>118</v>
      </c>
      <c r="B291" t="s">
        <v>112</v>
      </c>
      <c r="C291" s="1">
        <v>43001</v>
      </c>
      <c r="D291" t="s">
        <v>128</v>
      </c>
      <c r="E291">
        <v>3</v>
      </c>
      <c r="F291" s="12">
        <v>104</v>
      </c>
      <c r="G291">
        <v>377</v>
      </c>
      <c r="H291" s="13">
        <v>39173.25</v>
      </c>
      <c r="I291" s="1">
        <v>43783</v>
      </c>
      <c r="J291">
        <v>11</v>
      </c>
      <c r="K291">
        <v>495</v>
      </c>
      <c r="L291">
        <v>52</v>
      </c>
      <c r="M291" t="s">
        <v>156</v>
      </c>
      <c r="N291" t="s">
        <v>153</v>
      </c>
    </row>
    <row r="292" spans="1:14" x14ac:dyDescent="0.25">
      <c r="A292" t="s">
        <v>115</v>
      </c>
      <c r="B292" t="s">
        <v>109</v>
      </c>
      <c r="C292" s="1">
        <v>43357</v>
      </c>
      <c r="D292" t="s">
        <v>128</v>
      </c>
      <c r="E292">
        <v>3</v>
      </c>
      <c r="F292" s="12">
        <v>104</v>
      </c>
      <c r="G292">
        <v>219</v>
      </c>
      <c r="H292" s="13">
        <v>22741.25</v>
      </c>
      <c r="I292" s="1">
        <v>44003</v>
      </c>
      <c r="J292">
        <v>6</v>
      </c>
      <c r="K292">
        <v>172</v>
      </c>
      <c r="L292">
        <v>56</v>
      </c>
      <c r="M292" t="s">
        <v>159</v>
      </c>
      <c r="N292" t="s">
        <v>154</v>
      </c>
    </row>
    <row r="293" spans="1:14" x14ac:dyDescent="0.25">
      <c r="A293" t="s">
        <v>114</v>
      </c>
      <c r="B293" t="s">
        <v>108</v>
      </c>
      <c r="C293" s="1">
        <v>42808</v>
      </c>
      <c r="D293" t="s">
        <v>128</v>
      </c>
      <c r="E293">
        <v>3</v>
      </c>
      <c r="F293" s="12">
        <v>104</v>
      </c>
      <c r="G293">
        <v>141</v>
      </c>
      <c r="H293" s="13">
        <v>14629.25</v>
      </c>
      <c r="I293" s="1">
        <v>43463</v>
      </c>
      <c r="J293">
        <v>12</v>
      </c>
      <c r="K293">
        <v>308</v>
      </c>
      <c r="L293">
        <v>29</v>
      </c>
      <c r="M293" t="s">
        <v>158</v>
      </c>
      <c r="N293" t="s">
        <v>153</v>
      </c>
    </row>
    <row r="294" spans="1:14" x14ac:dyDescent="0.25">
      <c r="A294" t="s">
        <v>80</v>
      </c>
      <c r="B294" t="s">
        <v>77</v>
      </c>
      <c r="C294" s="1">
        <v>43282</v>
      </c>
      <c r="D294" t="s">
        <v>128</v>
      </c>
      <c r="E294">
        <v>3</v>
      </c>
      <c r="F294" s="12">
        <v>104</v>
      </c>
      <c r="G294">
        <v>1680</v>
      </c>
      <c r="H294" s="13">
        <v>174685.25</v>
      </c>
      <c r="I294" s="1">
        <v>43893</v>
      </c>
      <c r="J294">
        <v>3</v>
      </c>
      <c r="K294">
        <v>122</v>
      </c>
      <c r="L294">
        <v>56</v>
      </c>
      <c r="M294" t="s">
        <v>159</v>
      </c>
      <c r="N294" t="s">
        <v>154</v>
      </c>
    </row>
    <row r="295" spans="1:14" x14ac:dyDescent="0.25">
      <c r="A295" t="s">
        <v>83</v>
      </c>
      <c r="B295" t="s">
        <v>84</v>
      </c>
      <c r="C295" s="1">
        <v>43427</v>
      </c>
      <c r="D295" t="s">
        <v>128</v>
      </c>
      <c r="E295">
        <v>3</v>
      </c>
      <c r="F295" s="12">
        <v>104</v>
      </c>
      <c r="G295">
        <v>409</v>
      </c>
      <c r="H295" s="13">
        <v>42501.25</v>
      </c>
      <c r="I295" s="1">
        <v>43968</v>
      </c>
      <c r="J295">
        <v>5</v>
      </c>
      <c r="K295">
        <v>61</v>
      </c>
      <c r="L295">
        <v>42</v>
      </c>
      <c r="M295" t="s">
        <v>162</v>
      </c>
      <c r="N295" t="s">
        <v>154</v>
      </c>
    </row>
    <row r="296" spans="1:14" x14ac:dyDescent="0.25">
      <c r="A296" t="s">
        <v>46</v>
      </c>
      <c r="B296" t="s">
        <v>39</v>
      </c>
      <c r="C296" s="1">
        <v>43490</v>
      </c>
      <c r="D296" t="s">
        <v>128</v>
      </c>
      <c r="E296">
        <v>3</v>
      </c>
      <c r="F296" s="12">
        <v>104</v>
      </c>
      <c r="G296">
        <v>743</v>
      </c>
      <c r="H296" s="13">
        <v>77237.25</v>
      </c>
      <c r="I296" s="1">
        <v>44077</v>
      </c>
      <c r="J296">
        <v>9</v>
      </c>
      <c r="K296">
        <v>83</v>
      </c>
      <c r="L296">
        <v>52</v>
      </c>
      <c r="M296" t="s">
        <v>156</v>
      </c>
      <c r="N296" t="s">
        <v>154</v>
      </c>
    </row>
    <row r="297" spans="1:14" x14ac:dyDescent="0.25">
      <c r="A297" t="s">
        <v>93</v>
      </c>
      <c r="B297" t="s">
        <v>94</v>
      </c>
      <c r="C297" s="1">
        <v>43618</v>
      </c>
      <c r="D297" t="s">
        <v>128</v>
      </c>
      <c r="E297">
        <v>3</v>
      </c>
      <c r="F297" s="12">
        <v>104</v>
      </c>
      <c r="G297">
        <v>270</v>
      </c>
      <c r="H297" s="13">
        <v>28045.25</v>
      </c>
      <c r="I297" s="1">
        <v>44092</v>
      </c>
      <c r="J297">
        <v>9</v>
      </c>
      <c r="K297">
        <v>105</v>
      </c>
      <c r="L297">
        <v>52</v>
      </c>
      <c r="M297" t="s">
        <v>156</v>
      </c>
      <c r="N297" t="s">
        <v>153</v>
      </c>
    </row>
    <row r="298" spans="1:14" x14ac:dyDescent="0.25">
      <c r="A298" t="s">
        <v>90</v>
      </c>
      <c r="B298" t="s">
        <v>86</v>
      </c>
      <c r="C298" s="1">
        <v>43995</v>
      </c>
      <c r="D298" t="s">
        <v>128</v>
      </c>
      <c r="E298">
        <v>3</v>
      </c>
      <c r="F298" s="12">
        <v>104</v>
      </c>
      <c r="G298">
        <v>539</v>
      </c>
      <c r="H298" s="13">
        <v>56021.25</v>
      </c>
      <c r="I298" s="1">
        <v>44221</v>
      </c>
      <c r="J298">
        <v>1</v>
      </c>
      <c r="K298">
        <v>103</v>
      </c>
      <c r="L298">
        <v>35</v>
      </c>
      <c r="M298" t="s">
        <v>164</v>
      </c>
      <c r="N298" t="s">
        <v>153</v>
      </c>
    </row>
    <row r="299" spans="1:14" x14ac:dyDescent="0.25">
      <c r="A299" t="s">
        <v>43</v>
      </c>
      <c r="B299" t="s">
        <v>37</v>
      </c>
      <c r="C299" s="1">
        <v>43490</v>
      </c>
      <c r="D299" t="s">
        <v>128</v>
      </c>
      <c r="E299">
        <v>3</v>
      </c>
      <c r="F299" s="12">
        <v>104</v>
      </c>
      <c r="G299">
        <v>107</v>
      </c>
      <c r="H299" s="13">
        <v>11093.25</v>
      </c>
      <c r="I299" s="1">
        <v>43836</v>
      </c>
      <c r="J299">
        <v>1</v>
      </c>
      <c r="K299">
        <v>322</v>
      </c>
      <c r="L299">
        <v>28</v>
      </c>
      <c r="M299" t="s">
        <v>158</v>
      </c>
      <c r="N299" t="s">
        <v>153</v>
      </c>
    </row>
    <row r="300" spans="1:14" x14ac:dyDescent="0.25">
      <c r="A300" t="s">
        <v>72</v>
      </c>
      <c r="B300" t="s">
        <v>67</v>
      </c>
      <c r="C300" s="1">
        <v>43827</v>
      </c>
      <c r="D300" t="s">
        <v>128</v>
      </c>
      <c r="E300">
        <v>3</v>
      </c>
      <c r="F300" s="12">
        <v>104</v>
      </c>
      <c r="G300">
        <v>545</v>
      </c>
      <c r="H300" s="13">
        <v>56645.25</v>
      </c>
      <c r="I300" s="1">
        <v>44097</v>
      </c>
      <c r="J300">
        <v>9</v>
      </c>
      <c r="K300">
        <v>120</v>
      </c>
      <c r="L300">
        <v>54</v>
      </c>
      <c r="M300" t="s">
        <v>156</v>
      </c>
      <c r="N300" t="s">
        <v>154</v>
      </c>
    </row>
    <row r="301" spans="1:14" x14ac:dyDescent="0.25">
      <c r="A301" t="s">
        <v>40</v>
      </c>
      <c r="B301" t="s">
        <v>0</v>
      </c>
      <c r="C301" s="1">
        <v>43287</v>
      </c>
      <c r="D301" t="s">
        <v>128</v>
      </c>
      <c r="E301">
        <v>3</v>
      </c>
      <c r="F301" s="12">
        <v>104</v>
      </c>
      <c r="G301">
        <v>511</v>
      </c>
      <c r="H301" s="13">
        <v>53115.41</v>
      </c>
      <c r="I301" s="1">
        <v>43799</v>
      </c>
      <c r="J301">
        <v>11</v>
      </c>
      <c r="K301">
        <v>369</v>
      </c>
      <c r="L301">
        <v>54</v>
      </c>
      <c r="M301" t="s">
        <v>156</v>
      </c>
      <c r="N301" t="s">
        <v>154</v>
      </c>
    </row>
    <row r="302" spans="1:14" x14ac:dyDescent="0.25">
      <c r="A302" t="s">
        <v>43</v>
      </c>
      <c r="B302" t="s">
        <v>37</v>
      </c>
      <c r="C302" s="1">
        <v>43490</v>
      </c>
      <c r="D302" t="s">
        <v>127</v>
      </c>
      <c r="E302">
        <v>2</v>
      </c>
      <c r="F302" s="12">
        <v>132</v>
      </c>
      <c r="G302">
        <v>1696</v>
      </c>
      <c r="H302" s="13">
        <v>223843.41</v>
      </c>
      <c r="I302" s="1">
        <v>43876</v>
      </c>
      <c r="J302">
        <v>2</v>
      </c>
      <c r="K302">
        <v>195</v>
      </c>
      <c r="L302">
        <v>31</v>
      </c>
      <c r="M302" t="s">
        <v>164</v>
      </c>
      <c r="N302" t="s">
        <v>153</v>
      </c>
    </row>
    <row r="303" spans="1:14" x14ac:dyDescent="0.25">
      <c r="A303" t="s">
        <v>82</v>
      </c>
      <c r="B303" t="s">
        <v>79</v>
      </c>
      <c r="C303" s="1">
        <v>43278</v>
      </c>
      <c r="D303" t="s">
        <v>127</v>
      </c>
      <c r="E303">
        <v>2</v>
      </c>
      <c r="F303" s="12">
        <v>132</v>
      </c>
      <c r="G303">
        <v>622</v>
      </c>
      <c r="H303" s="13">
        <v>82075.41</v>
      </c>
      <c r="I303" s="1">
        <v>44094</v>
      </c>
      <c r="J303">
        <v>9</v>
      </c>
      <c r="K303">
        <v>111</v>
      </c>
      <c r="L303">
        <v>57</v>
      </c>
      <c r="M303" t="s">
        <v>159</v>
      </c>
      <c r="N303" t="s">
        <v>154</v>
      </c>
    </row>
    <row r="304" spans="1:14" x14ac:dyDescent="0.25">
      <c r="A304" t="s">
        <v>116</v>
      </c>
      <c r="B304" t="s">
        <v>110</v>
      </c>
      <c r="C304" s="1">
        <v>42277</v>
      </c>
      <c r="D304" t="s">
        <v>127</v>
      </c>
      <c r="E304">
        <v>2</v>
      </c>
      <c r="F304" s="12">
        <v>132</v>
      </c>
      <c r="G304">
        <v>381</v>
      </c>
      <c r="H304" s="13">
        <v>50263.41</v>
      </c>
      <c r="I304" s="1">
        <v>43392</v>
      </c>
      <c r="J304">
        <v>10</v>
      </c>
      <c r="K304">
        <v>436</v>
      </c>
      <c r="L304">
        <v>58</v>
      </c>
      <c r="M304" t="s">
        <v>159</v>
      </c>
      <c r="N304" t="s">
        <v>153</v>
      </c>
    </row>
    <row r="305" spans="1:14" x14ac:dyDescent="0.25">
      <c r="A305" t="s">
        <v>43</v>
      </c>
      <c r="B305" t="s">
        <v>37</v>
      </c>
      <c r="C305" s="1">
        <v>43490</v>
      </c>
      <c r="D305" t="s">
        <v>127</v>
      </c>
      <c r="E305">
        <v>2</v>
      </c>
      <c r="F305" s="12">
        <v>132</v>
      </c>
      <c r="G305">
        <v>279</v>
      </c>
      <c r="H305" s="13">
        <v>36799.410000000003</v>
      </c>
      <c r="I305" s="1">
        <v>43779</v>
      </c>
      <c r="J305">
        <v>11</v>
      </c>
      <c r="K305">
        <v>153</v>
      </c>
      <c r="L305">
        <v>50</v>
      </c>
      <c r="M305" t="s">
        <v>163</v>
      </c>
      <c r="N305" t="s">
        <v>153</v>
      </c>
    </row>
    <row r="306" spans="1:14" x14ac:dyDescent="0.25">
      <c r="A306" t="s">
        <v>63</v>
      </c>
      <c r="B306" t="s">
        <v>58</v>
      </c>
      <c r="C306" s="1">
        <v>43155</v>
      </c>
      <c r="D306" t="s">
        <v>127</v>
      </c>
      <c r="E306">
        <v>2</v>
      </c>
      <c r="F306" s="12">
        <v>132</v>
      </c>
      <c r="G306">
        <v>425</v>
      </c>
      <c r="H306" s="13">
        <v>56071.41</v>
      </c>
      <c r="I306" s="1">
        <v>44039</v>
      </c>
      <c r="J306">
        <v>7</v>
      </c>
      <c r="K306">
        <v>115</v>
      </c>
      <c r="L306">
        <v>51</v>
      </c>
      <c r="M306" t="s">
        <v>156</v>
      </c>
      <c r="N306" t="s">
        <v>153</v>
      </c>
    </row>
    <row r="307" spans="1:14" x14ac:dyDescent="0.25">
      <c r="A307" t="s">
        <v>45</v>
      </c>
      <c r="B307" t="s">
        <v>38</v>
      </c>
      <c r="C307" s="1">
        <v>43534</v>
      </c>
      <c r="D307" t="s">
        <v>127</v>
      </c>
      <c r="E307">
        <v>2</v>
      </c>
      <c r="F307" s="12">
        <v>132</v>
      </c>
      <c r="G307">
        <v>734</v>
      </c>
      <c r="H307" s="13">
        <v>96859.41</v>
      </c>
      <c r="I307" s="1">
        <v>43574</v>
      </c>
      <c r="J307">
        <v>4</v>
      </c>
      <c r="K307">
        <v>413</v>
      </c>
      <c r="L307">
        <v>34</v>
      </c>
      <c r="M307" t="s">
        <v>164</v>
      </c>
      <c r="N307" t="s">
        <v>153</v>
      </c>
    </row>
    <row r="308" spans="1:14" x14ac:dyDescent="0.25">
      <c r="A308" t="s">
        <v>74</v>
      </c>
      <c r="B308" t="s">
        <v>69</v>
      </c>
      <c r="C308" s="1">
        <v>42228</v>
      </c>
      <c r="D308" t="s">
        <v>127</v>
      </c>
      <c r="E308">
        <v>2</v>
      </c>
      <c r="F308" s="12">
        <v>132</v>
      </c>
      <c r="G308">
        <v>729</v>
      </c>
      <c r="H308" s="13">
        <v>96199.41</v>
      </c>
      <c r="I308" s="1">
        <v>43309</v>
      </c>
      <c r="J308">
        <v>7</v>
      </c>
      <c r="K308">
        <v>265</v>
      </c>
      <c r="L308">
        <v>56</v>
      </c>
      <c r="M308" t="s">
        <v>159</v>
      </c>
      <c r="N308" t="s">
        <v>154</v>
      </c>
    </row>
    <row r="309" spans="1:14" x14ac:dyDescent="0.25">
      <c r="A309" t="s">
        <v>93</v>
      </c>
      <c r="B309" t="s">
        <v>94</v>
      </c>
      <c r="C309" s="1">
        <v>43618</v>
      </c>
      <c r="D309" t="s">
        <v>127</v>
      </c>
      <c r="E309">
        <v>2</v>
      </c>
      <c r="F309" s="12">
        <v>132</v>
      </c>
      <c r="G309">
        <v>1582</v>
      </c>
      <c r="H309" s="13">
        <v>208795.41</v>
      </c>
      <c r="I309" s="1">
        <v>44269</v>
      </c>
      <c r="J309">
        <v>3</v>
      </c>
      <c r="K309">
        <v>450</v>
      </c>
      <c r="L309">
        <v>53</v>
      </c>
      <c r="M309" t="s">
        <v>156</v>
      </c>
      <c r="N309" t="s">
        <v>154</v>
      </c>
    </row>
    <row r="310" spans="1:14" x14ac:dyDescent="0.25">
      <c r="A310" t="s">
        <v>61</v>
      </c>
      <c r="B310" t="s">
        <v>56</v>
      </c>
      <c r="C310" s="1">
        <v>42607</v>
      </c>
      <c r="D310" t="s">
        <v>127</v>
      </c>
      <c r="E310">
        <v>2</v>
      </c>
      <c r="F310" s="12">
        <v>132</v>
      </c>
      <c r="G310">
        <v>768</v>
      </c>
      <c r="H310" s="13">
        <v>101347.41</v>
      </c>
      <c r="I310" s="1">
        <v>43463</v>
      </c>
      <c r="J310">
        <v>12</v>
      </c>
      <c r="K310">
        <v>435</v>
      </c>
      <c r="L310">
        <v>58</v>
      </c>
      <c r="M310" t="s">
        <v>159</v>
      </c>
      <c r="N310" t="s">
        <v>154</v>
      </c>
    </row>
    <row r="311" spans="1:14" x14ac:dyDescent="0.25">
      <c r="A311" t="s">
        <v>61</v>
      </c>
      <c r="B311" t="s">
        <v>56</v>
      </c>
      <c r="C311" s="1">
        <v>42607</v>
      </c>
      <c r="D311" t="s">
        <v>127</v>
      </c>
      <c r="E311">
        <v>2</v>
      </c>
      <c r="F311" s="12">
        <v>132</v>
      </c>
      <c r="G311">
        <v>249</v>
      </c>
      <c r="H311" s="13">
        <v>32839.410000000003</v>
      </c>
      <c r="I311" s="1">
        <v>44006</v>
      </c>
      <c r="J311">
        <v>6</v>
      </c>
      <c r="K311">
        <v>458</v>
      </c>
      <c r="L311">
        <v>54</v>
      </c>
      <c r="M311" t="s">
        <v>156</v>
      </c>
      <c r="N311" t="s">
        <v>154</v>
      </c>
    </row>
    <row r="312" spans="1:14" x14ac:dyDescent="0.25">
      <c r="A312" t="s">
        <v>47</v>
      </c>
      <c r="B312" t="s">
        <v>48</v>
      </c>
      <c r="C312" s="1">
        <v>42542</v>
      </c>
      <c r="D312" t="s">
        <v>127</v>
      </c>
      <c r="E312">
        <v>2</v>
      </c>
      <c r="F312" s="12">
        <v>132</v>
      </c>
      <c r="G312">
        <v>1843</v>
      </c>
      <c r="H312" s="13">
        <v>243247.41</v>
      </c>
      <c r="I312" s="1">
        <v>43172</v>
      </c>
      <c r="J312">
        <v>3</v>
      </c>
      <c r="K312">
        <v>340</v>
      </c>
      <c r="L312">
        <v>64</v>
      </c>
      <c r="M312" t="s">
        <v>157</v>
      </c>
      <c r="N312" t="s">
        <v>154</v>
      </c>
    </row>
    <row r="313" spans="1:14" x14ac:dyDescent="0.25">
      <c r="A313" t="s">
        <v>45</v>
      </c>
      <c r="B313" t="s">
        <v>38</v>
      </c>
      <c r="C313" s="1">
        <v>43534</v>
      </c>
      <c r="D313" t="s">
        <v>127</v>
      </c>
      <c r="E313">
        <v>2</v>
      </c>
      <c r="F313" s="12">
        <v>132</v>
      </c>
      <c r="G313">
        <v>1469</v>
      </c>
      <c r="H313" s="13">
        <v>193879.41</v>
      </c>
      <c r="I313" s="1">
        <v>44272</v>
      </c>
      <c r="J313">
        <v>3</v>
      </c>
      <c r="K313">
        <v>68</v>
      </c>
      <c r="L313">
        <v>62</v>
      </c>
      <c r="M313" t="s">
        <v>157</v>
      </c>
      <c r="N313" t="s">
        <v>153</v>
      </c>
    </row>
    <row r="314" spans="1:14" x14ac:dyDescent="0.25">
      <c r="A314" t="s">
        <v>115</v>
      </c>
      <c r="B314" t="s">
        <v>109</v>
      </c>
      <c r="C314" s="1">
        <v>43357</v>
      </c>
      <c r="D314" t="s">
        <v>127</v>
      </c>
      <c r="E314">
        <v>2</v>
      </c>
      <c r="F314" s="12">
        <v>132</v>
      </c>
      <c r="G314">
        <v>295</v>
      </c>
      <c r="H314" s="13">
        <v>38911.410000000003</v>
      </c>
      <c r="I314" s="1">
        <v>43963</v>
      </c>
      <c r="J314">
        <v>5</v>
      </c>
      <c r="K314">
        <v>244</v>
      </c>
      <c r="L314">
        <v>53</v>
      </c>
      <c r="M314" t="s">
        <v>156</v>
      </c>
      <c r="N314" t="s">
        <v>153</v>
      </c>
    </row>
    <row r="315" spans="1:14" x14ac:dyDescent="0.25">
      <c r="A315" t="s">
        <v>82</v>
      </c>
      <c r="B315" t="s">
        <v>79</v>
      </c>
      <c r="C315" s="1">
        <v>43278</v>
      </c>
      <c r="D315" t="s">
        <v>127</v>
      </c>
      <c r="E315">
        <v>2</v>
      </c>
      <c r="F315" s="12">
        <v>132</v>
      </c>
      <c r="G315">
        <v>917</v>
      </c>
      <c r="H315" s="13">
        <v>121015.41</v>
      </c>
      <c r="I315" s="1">
        <v>44306</v>
      </c>
      <c r="J315">
        <v>4</v>
      </c>
      <c r="K315">
        <v>180</v>
      </c>
      <c r="L315">
        <v>60</v>
      </c>
      <c r="M315" t="s">
        <v>159</v>
      </c>
      <c r="N315" t="s">
        <v>154</v>
      </c>
    </row>
    <row r="316" spans="1:14" x14ac:dyDescent="0.25">
      <c r="A316" t="s">
        <v>102</v>
      </c>
      <c r="B316" t="s">
        <v>99</v>
      </c>
      <c r="C316" s="1">
        <v>43488</v>
      </c>
      <c r="D316" t="s">
        <v>127</v>
      </c>
      <c r="E316">
        <v>2</v>
      </c>
      <c r="F316" s="12">
        <v>132</v>
      </c>
      <c r="G316">
        <v>171</v>
      </c>
      <c r="H316" s="13">
        <v>22543.41</v>
      </c>
      <c r="I316" s="1">
        <v>44159</v>
      </c>
      <c r="J316">
        <v>11</v>
      </c>
      <c r="K316">
        <v>441</v>
      </c>
      <c r="L316">
        <v>31</v>
      </c>
      <c r="M316" t="s">
        <v>164</v>
      </c>
      <c r="N316" t="s">
        <v>153</v>
      </c>
    </row>
    <row r="317" spans="1:14" x14ac:dyDescent="0.25">
      <c r="A317" t="s">
        <v>60</v>
      </c>
      <c r="B317" t="s">
        <v>55</v>
      </c>
      <c r="C317" s="1">
        <v>43555</v>
      </c>
      <c r="D317" t="s">
        <v>127</v>
      </c>
      <c r="E317">
        <v>2</v>
      </c>
      <c r="F317" s="12">
        <v>132</v>
      </c>
      <c r="G317">
        <v>1662</v>
      </c>
      <c r="H317" s="13">
        <v>219355.41</v>
      </c>
      <c r="I317" s="1">
        <v>44291</v>
      </c>
      <c r="J317">
        <v>4</v>
      </c>
      <c r="K317">
        <v>117</v>
      </c>
      <c r="L317">
        <v>60</v>
      </c>
      <c r="M317" t="s">
        <v>159</v>
      </c>
      <c r="N317" t="s">
        <v>153</v>
      </c>
    </row>
    <row r="318" spans="1:14" x14ac:dyDescent="0.25">
      <c r="A318" t="s">
        <v>95</v>
      </c>
      <c r="B318" t="s">
        <v>96</v>
      </c>
      <c r="C318" s="1">
        <v>43758</v>
      </c>
      <c r="D318" t="s">
        <v>127</v>
      </c>
      <c r="E318">
        <v>2</v>
      </c>
      <c r="F318" s="12">
        <v>132</v>
      </c>
      <c r="G318">
        <v>150</v>
      </c>
      <c r="H318" s="13">
        <v>19771.41</v>
      </c>
      <c r="I318" s="1">
        <v>44082</v>
      </c>
      <c r="J318">
        <v>9</v>
      </c>
      <c r="K318">
        <v>481</v>
      </c>
      <c r="L318">
        <v>54</v>
      </c>
      <c r="M318" t="s">
        <v>156</v>
      </c>
      <c r="N318" t="s">
        <v>154</v>
      </c>
    </row>
    <row r="319" spans="1:14" x14ac:dyDescent="0.25">
      <c r="A319" t="s">
        <v>40</v>
      </c>
      <c r="B319" t="s">
        <v>0</v>
      </c>
      <c r="C319" s="1">
        <v>43287</v>
      </c>
      <c r="D319" t="s">
        <v>127</v>
      </c>
      <c r="E319">
        <v>2</v>
      </c>
      <c r="F319" s="12">
        <v>132</v>
      </c>
      <c r="G319">
        <v>633</v>
      </c>
      <c r="H319" s="13">
        <v>83527.41</v>
      </c>
      <c r="I319" s="1">
        <v>43651</v>
      </c>
      <c r="J319">
        <v>7</v>
      </c>
      <c r="K319">
        <v>600</v>
      </c>
      <c r="L319">
        <v>57</v>
      </c>
      <c r="M319" t="s">
        <v>159</v>
      </c>
      <c r="N319" t="s">
        <v>154</v>
      </c>
    </row>
    <row r="320" spans="1:14" x14ac:dyDescent="0.25">
      <c r="A320" t="s">
        <v>73</v>
      </c>
      <c r="B320" t="s">
        <v>68</v>
      </c>
      <c r="C320" s="1">
        <v>43097</v>
      </c>
      <c r="D320" t="s">
        <v>127</v>
      </c>
      <c r="E320">
        <v>2</v>
      </c>
      <c r="F320" s="12">
        <v>132</v>
      </c>
      <c r="G320">
        <v>466</v>
      </c>
      <c r="H320" s="13">
        <v>61483.41</v>
      </c>
      <c r="I320" s="1">
        <v>44103</v>
      </c>
      <c r="J320">
        <v>9</v>
      </c>
      <c r="K320">
        <v>436</v>
      </c>
      <c r="L320">
        <v>58</v>
      </c>
      <c r="M320" t="s">
        <v>159</v>
      </c>
      <c r="N320" t="s">
        <v>153</v>
      </c>
    </row>
    <row r="321" spans="1:14" x14ac:dyDescent="0.25">
      <c r="A321" t="s">
        <v>53</v>
      </c>
      <c r="B321" t="s">
        <v>54</v>
      </c>
      <c r="C321" s="1">
        <v>42816</v>
      </c>
      <c r="D321" t="s">
        <v>127</v>
      </c>
      <c r="E321">
        <v>2</v>
      </c>
      <c r="F321" s="12">
        <v>132</v>
      </c>
      <c r="G321">
        <v>402</v>
      </c>
      <c r="H321" s="13">
        <v>53035.41</v>
      </c>
      <c r="I321" s="1">
        <v>43633</v>
      </c>
      <c r="J321">
        <v>6</v>
      </c>
      <c r="K321">
        <v>405</v>
      </c>
      <c r="L321">
        <v>58</v>
      </c>
      <c r="M321" t="s">
        <v>159</v>
      </c>
      <c r="N321" t="s">
        <v>154</v>
      </c>
    </row>
    <row r="322" spans="1:14" x14ac:dyDescent="0.25">
      <c r="A322" t="s">
        <v>97</v>
      </c>
      <c r="B322" t="s">
        <v>98</v>
      </c>
      <c r="C322" s="1">
        <v>42388</v>
      </c>
      <c r="D322" t="s">
        <v>127</v>
      </c>
      <c r="E322">
        <v>2</v>
      </c>
      <c r="F322" s="12">
        <v>132</v>
      </c>
      <c r="G322">
        <v>178</v>
      </c>
      <c r="H322" s="13">
        <v>23467.41</v>
      </c>
      <c r="I322" s="1">
        <v>42569</v>
      </c>
      <c r="J322">
        <v>7</v>
      </c>
      <c r="K322">
        <v>473</v>
      </c>
      <c r="L322">
        <v>65</v>
      </c>
      <c r="M322" t="s">
        <v>157</v>
      </c>
      <c r="N322" t="s">
        <v>153</v>
      </c>
    </row>
    <row r="323" spans="1:14" x14ac:dyDescent="0.25">
      <c r="A323" t="s">
        <v>115</v>
      </c>
      <c r="B323" t="s">
        <v>109</v>
      </c>
      <c r="C323" s="1">
        <v>43357</v>
      </c>
      <c r="D323" t="s">
        <v>127</v>
      </c>
      <c r="E323">
        <v>2</v>
      </c>
      <c r="F323" s="12">
        <v>132</v>
      </c>
      <c r="G323">
        <v>615</v>
      </c>
      <c r="H323" s="13">
        <v>81151.41</v>
      </c>
      <c r="I323" s="1">
        <v>44054</v>
      </c>
      <c r="J323">
        <v>8</v>
      </c>
      <c r="K323">
        <v>275</v>
      </c>
      <c r="L323">
        <v>60</v>
      </c>
      <c r="M323" t="s">
        <v>159</v>
      </c>
      <c r="N323" t="s">
        <v>154</v>
      </c>
    </row>
    <row r="324" spans="1:14" x14ac:dyDescent="0.25">
      <c r="A324" t="s">
        <v>91</v>
      </c>
      <c r="B324" t="s">
        <v>87</v>
      </c>
      <c r="C324" s="1">
        <v>43557</v>
      </c>
      <c r="D324" t="s">
        <v>127</v>
      </c>
      <c r="E324">
        <v>2</v>
      </c>
      <c r="F324" s="12">
        <v>132</v>
      </c>
      <c r="G324">
        <v>405</v>
      </c>
      <c r="H324" s="13">
        <v>53431.41</v>
      </c>
      <c r="I324" s="1">
        <v>43704</v>
      </c>
      <c r="J324">
        <v>8</v>
      </c>
      <c r="K324">
        <v>505</v>
      </c>
      <c r="L324">
        <v>68</v>
      </c>
      <c r="M324" t="s">
        <v>165</v>
      </c>
      <c r="N324" t="s">
        <v>154</v>
      </c>
    </row>
    <row r="325" spans="1:14" x14ac:dyDescent="0.25">
      <c r="A325" t="s">
        <v>64</v>
      </c>
      <c r="B325" t="s">
        <v>59</v>
      </c>
      <c r="C325" s="1">
        <v>43153</v>
      </c>
      <c r="D325" t="s">
        <v>127</v>
      </c>
      <c r="E325">
        <v>2</v>
      </c>
      <c r="F325" s="12">
        <v>132</v>
      </c>
      <c r="G325">
        <v>457</v>
      </c>
      <c r="H325" s="13">
        <v>60295.41</v>
      </c>
      <c r="I325" s="1">
        <v>43699</v>
      </c>
      <c r="J325">
        <v>8</v>
      </c>
      <c r="K325">
        <v>477</v>
      </c>
      <c r="L325">
        <v>55</v>
      </c>
      <c r="M325" t="s">
        <v>156</v>
      </c>
      <c r="N325" t="s">
        <v>154</v>
      </c>
    </row>
    <row r="326" spans="1:14" x14ac:dyDescent="0.25">
      <c r="A326" t="s">
        <v>40</v>
      </c>
      <c r="B326" t="s">
        <v>0</v>
      </c>
      <c r="C326" s="1">
        <v>43287</v>
      </c>
      <c r="D326" t="s">
        <v>127</v>
      </c>
      <c r="E326">
        <v>2</v>
      </c>
      <c r="F326" s="12">
        <v>132</v>
      </c>
      <c r="G326">
        <v>117</v>
      </c>
      <c r="H326" s="13">
        <v>15415.41</v>
      </c>
      <c r="I326" s="1">
        <v>44201</v>
      </c>
      <c r="J326">
        <v>1</v>
      </c>
      <c r="K326">
        <v>414</v>
      </c>
      <c r="L326">
        <v>60</v>
      </c>
      <c r="M326" t="s">
        <v>159</v>
      </c>
      <c r="N326" t="s">
        <v>153</v>
      </c>
    </row>
    <row r="327" spans="1:14" x14ac:dyDescent="0.25">
      <c r="A327" t="s">
        <v>116</v>
      </c>
      <c r="B327" t="s">
        <v>110</v>
      </c>
      <c r="C327" s="1">
        <v>42277</v>
      </c>
      <c r="D327" t="s">
        <v>127</v>
      </c>
      <c r="E327">
        <v>2</v>
      </c>
      <c r="F327" s="12">
        <v>132</v>
      </c>
      <c r="G327">
        <v>147</v>
      </c>
      <c r="H327" s="13">
        <v>19375.41</v>
      </c>
      <c r="I327" s="1">
        <v>43351</v>
      </c>
      <c r="J327">
        <v>9</v>
      </c>
      <c r="K327">
        <v>207</v>
      </c>
      <c r="L327">
        <v>56</v>
      </c>
      <c r="M327" t="s">
        <v>159</v>
      </c>
      <c r="N327" t="s">
        <v>154</v>
      </c>
    </row>
    <row r="328" spans="1:14" x14ac:dyDescent="0.25">
      <c r="A328" t="s">
        <v>102</v>
      </c>
      <c r="B328" t="s">
        <v>99</v>
      </c>
      <c r="C328" s="1">
        <v>43488</v>
      </c>
      <c r="D328" t="s">
        <v>127</v>
      </c>
      <c r="E328">
        <v>2</v>
      </c>
      <c r="F328" s="12">
        <v>132</v>
      </c>
      <c r="G328">
        <v>146</v>
      </c>
      <c r="H328" s="13">
        <v>19243.41</v>
      </c>
      <c r="I328" s="1">
        <v>43699</v>
      </c>
      <c r="J328">
        <v>8</v>
      </c>
      <c r="K328">
        <v>423</v>
      </c>
      <c r="L328">
        <v>54</v>
      </c>
      <c r="M328" t="s">
        <v>156</v>
      </c>
      <c r="N328" t="s">
        <v>153</v>
      </c>
    </row>
    <row r="329" spans="1:14" x14ac:dyDescent="0.25">
      <c r="A329" t="s">
        <v>113</v>
      </c>
      <c r="B329" t="s">
        <v>107</v>
      </c>
      <c r="C329" s="1">
        <v>43912</v>
      </c>
      <c r="D329" t="s">
        <v>127</v>
      </c>
      <c r="E329">
        <v>2</v>
      </c>
      <c r="F329" s="12">
        <v>132</v>
      </c>
      <c r="G329">
        <v>1924</v>
      </c>
      <c r="H329" s="13">
        <v>253939.41</v>
      </c>
      <c r="I329" s="1">
        <v>44293</v>
      </c>
      <c r="J329">
        <v>4</v>
      </c>
      <c r="K329">
        <v>123</v>
      </c>
      <c r="L329">
        <v>20</v>
      </c>
      <c r="M329" t="s">
        <v>160</v>
      </c>
      <c r="N329" t="s">
        <v>153</v>
      </c>
    </row>
    <row r="330" spans="1:14" x14ac:dyDescent="0.25">
      <c r="A330" t="s">
        <v>74</v>
      </c>
      <c r="B330" t="s">
        <v>69</v>
      </c>
      <c r="C330" s="1">
        <v>42228</v>
      </c>
      <c r="D330" t="s">
        <v>127</v>
      </c>
      <c r="E330">
        <v>2</v>
      </c>
      <c r="F330" s="12">
        <v>132</v>
      </c>
      <c r="G330">
        <v>391</v>
      </c>
      <c r="H330" s="13">
        <v>51583.41</v>
      </c>
      <c r="I330" s="1">
        <v>42921</v>
      </c>
      <c r="J330">
        <v>7</v>
      </c>
      <c r="K330">
        <v>274</v>
      </c>
      <c r="L330">
        <v>55</v>
      </c>
      <c r="M330" t="s">
        <v>156</v>
      </c>
      <c r="N330" t="s">
        <v>153</v>
      </c>
    </row>
    <row r="331" spans="1:14" x14ac:dyDescent="0.25">
      <c r="A331" t="s">
        <v>103</v>
      </c>
      <c r="B331" t="s">
        <v>100</v>
      </c>
      <c r="C331" s="1">
        <v>42080</v>
      </c>
      <c r="D331" t="s">
        <v>127</v>
      </c>
      <c r="E331">
        <v>2</v>
      </c>
      <c r="F331" s="12">
        <v>132</v>
      </c>
      <c r="G331">
        <v>132</v>
      </c>
      <c r="H331" s="13">
        <v>17395.41</v>
      </c>
      <c r="I331" s="1">
        <v>44439</v>
      </c>
      <c r="J331">
        <v>8</v>
      </c>
      <c r="K331">
        <v>550</v>
      </c>
      <c r="L331">
        <v>22</v>
      </c>
      <c r="M331" t="s">
        <v>160</v>
      </c>
      <c r="N331" t="s">
        <v>154</v>
      </c>
    </row>
    <row r="332" spans="1:14" x14ac:dyDescent="0.25">
      <c r="A332" t="s">
        <v>117</v>
      </c>
      <c r="B332" t="s">
        <v>111</v>
      </c>
      <c r="C332" s="1">
        <v>42729</v>
      </c>
      <c r="D332" t="s">
        <v>127</v>
      </c>
      <c r="E332">
        <v>2</v>
      </c>
      <c r="F332" s="12">
        <v>132</v>
      </c>
      <c r="G332">
        <v>1098</v>
      </c>
      <c r="H332" s="13">
        <v>144907.41</v>
      </c>
      <c r="I332" s="1">
        <v>43884</v>
      </c>
      <c r="J332">
        <v>2</v>
      </c>
      <c r="K332">
        <v>16</v>
      </c>
      <c r="L332">
        <v>54</v>
      </c>
      <c r="M332" t="s">
        <v>156</v>
      </c>
      <c r="N332" t="s">
        <v>154</v>
      </c>
    </row>
    <row r="333" spans="1:14" x14ac:dyDescent="0.25">
      <c r="A333" t="s">
        <v>73</v>
      </c>
      <c r="B333" t="s">
        <v>68</v>
      </c>
      <c r="C333" s="1">
        <v>43097</v>
      </c>
      <c r="D333" t="s">
        <v>127</v>
      </c>
      <c r="E333">
        <v>2</v>
      </c>
      <c r="F333" s="12">
        <v>132</v>
      </c>
      <c r="G333">
        <v>771</v>
      </c>
      <c r="H333" s="13">
        <v>101743.41</v>
      </c>
      <c r="I333" s="1">
        <v>43365</v>
      </c>
      <c r="J333">
        <v>9</v>
      </c>
      <c r="K333">
        <v>211</v>
      </c>
      <c r="L333">
        <v>45</v>
      </c>
      <c r="M333" t="s">
        <v>162</v>
      </c>
      <c r="N333" t="s">
        <v>154</v>
      </c>
    </row>
    <row r="334" spans="1:14" x14ac:dyDescent="0.25">
      <c r="A334" t="s">
        <v>32</v>
      </c>
      <c r="B334" t="s">
        <v>28</v>
      </c>
      <c r="C334" s="1">
        <v>43161</v>
      </c>
      <c r="D334" t="s">
        <v>127</v>
      </c>
      <c r="E334">
        <v>2</v>
      </c>
      <c r="F334" s="12">
        <v>132</v>
      </c>
      <c r="G334">
        <v>771</v>
      </c>
      <c r="H334" s="13">
        <v>101743.41</v>
      </c>
      <c r="I334" s="1">
        <v>43700</v>
      </c>
      <c r="J334">
        <v>8</v>
      </c>
      <c r="K334">
        <v>553</v>
      </c>
      <c r="L334">
        <v>49</v>
      </c>
      <c r="M334" t="s">
        <v>163</v>
      </c>
      <c r="N334" t="s">
        <v>154</v>
      </c>
    </row>
    <row r="335" spans="1:14" x14ac:dyDescent="0.25">
      <c r="A335" t="s">
        <v>105</v>
      </c>
      <c r="B335" t="s">
        <v>106</v>
      </c>
      <c r="C335" s="1">
        <v>43451</v>
      </c>
      <c r="D335" t="s">
        <v>127</v>
      </c>
      <c r="E335">
        <v>2</v>
      </c>
      <c r="F335" s="12">
        <v>132</v>
      </c>
      <c r="G335">
        <v>1657</v>
      </c>
      <c r="H335" s="13">
        <v>218695.41</v>
      </c>
      <c r="I335" s="1">
        <v>43874</v>
      </c>
      <c r="J335">
        <v>2</v>
      </c>
      <c r="K335">
        <v>341</v>
      </c>
      <c r="L335">
        <v>59</v>
      </c>
      <c r="M335" t="s">
        <v>159</v>
      </c>
      <c r="N335" t="s">
        <v>154</v>
      </c>
    </row>
    <row r="336" spans="1:14" x14ac:dyDescent="0.25">
      <c r="A336" t="s">
        <v>51</v>
      </c>
      <c r="B336" t="s">
        <v>49</v>
      </c>
      <c r="C336" s="1">
        <v>42394</v>
      </c>
      <c r="D336" t="s">
        <v>127</v>
      </c>
      <c r="E336">
        <v>2</v>
      </c>
      <c r="F336" s="12">
        <v>132</v>
      </c>
      <c r="G336">
        <v>171</v>
      </c>
      <c r="H336" s="13">
        <v>22543.41</v>
      </c>
      <c r="I336" s="1">
        <v>42923</v>
      </c>
      <c r="J336">
        <v>7</v>
      </c>
      <c r="K336">
        <v>463</v>
      </c>
      <c r="L336">
        <v>56</v>
      </c>
      <c r="M336" t="s">
        <v>159</v>
      </c>
      <c r="N336" t="s">
        <v>153</v>
      </c>
    </row>
    <row r="337" spans="1:14" x14ac:dyDescent="0.25">
      <c r="A337" t="s">
        <v>31</v>
      </c>
      <c r="B337" t="s">
        <v>27</v>
      </c>
      <c r="C337" s="1">
        <v>42433</v>
      </c>
      <c r="D337" t="s">
        <v>127</v>
      </c>
      <c r="E337">
        <v>2</v>
      </c>
      <c r="F337" s="12">
        <v>132</v>
      </c>
      <c r="G337">
        <v>797</v>
      </c>
      <c r="H337" s="13">
        <v>105175.41</v>
      </c>
      <c r="I337" s="1">
        <v>43681</v>
      </c>
      <c r="J337">
        <v>8</v>
      </c>
      <c r="K337">
        <v>203</v>
      </c>
      <c r="L337">
        <v>51</v>
      </c>
      <c r="M337" t="s">
        <v>156</v>
      </c>
      <c r="N337" t="s">
        <v>154</v>
      </c>
    </row>
    <row r="338" spans="1:14" x14ac:dyDescent="0.25">
      <c r="A338" t="s">
        <v>41</v>
      </c>
      <c r="B338" t="s">
        <v>36</v>
      </c>
      <c r="C338" s="1">
        <v>42880</v>
      </c>
      <c r="D338" t="s">
        <v>127</v>
      </c>
      <c r="E338">
        <v>2</v>
      </c>
      <c r="F338" s="12">
        <v>132</v>
      </c>
      <c r="G338">
        <v>289</v>
      </c>
      <c r="H338" s="13">
        <v>38119.410000000003</v>
      </c>
      <c r="I338" s="1">
        <v>44109</v>
      </c>
      <c r="J338">
        <v>10</v>
      </c>
      <c r="K338">
        <v>575</v>
      </c>
      <c r="L338">
        <v>69</v>
      </c>
      <c r="M338" t="s">
        <v>165</v>
      </c>
      <c r="N338" t="s">
        <v>154</v>
      </c>
    </row>
    <row r="339" spans="1:14" x14ac:dyDescent="0.25">
      <c r="A339" t="s">
        <v>70</v>
      </c>
      <c r="B339" t="s">
        <v>65</v>
      </c>
      <c r="C339" s="1">
        <v>43523</v>
      </c>
      <c r="D339" t="s">
        <v>127</v>
      </c>
      <c r="E339">
        <v>2</v>
      </c>
      <c r="F339" s="12">
        <v>132</v>
      </c>
      <c r="G339">
        <v>488</v>
      </c>
      <c r="H339" s="13">
        <v>64387.41</v>
      </c>
      <c r="I339" s="1">
        <v>44042</v>
      </c>
      <c r="J339">
        <v>7</v>
      </c>
      <c r="K339">
        <v>174</v>
      </c>
      <c r="L339">
        <v>40</v>
      </c>
      <c r="M339" t="s">
        <v>161</v>
      </c>
      <c r="N339" t="s">
        <v>153</v>
      </c>
    </row>
    <row r="340" spans="1:14" x14ac:dyDescent="0.25">
      <c r="A340" t="s">
        <v>41</v>
      </c>
      <c r="B340" t="s">
        <v>36</v>
      </c>
      <c r="C340" s="1">
        <v>42880</v>
      </c>
      <c r="D340" t="s">
        <v>127</v>
      </c>
      <c r="E340">
        <v>2</v>
      </c>
      <c r="F340" s="12">
        <v>132</v>
      </c>
      <c r="G340">
        <v>916</v>
      </c>
      <c r="H340" s="13">
        <v>120883.41</v>
      </c>
      <c r="I340" s="1">
        <v>43525</v>
      </c>
      <c r="J340">
        <v>3</v>
      </c>
      <c r="K340">
        <v>333</v>
      </c>
      <c r="L340">
        <v>58</v>
      </c>
      <c r="M340" t="s">
        <v>159</v>
      </c>
      <c r="N340" t="s">
        <v>153</v>
      </c>
    </row>
    <row r="341" spans="1:14" x14ac:dyDescent="0.25">
      <c r="A341" t="s">
        <v>41</v>
      </c>
      <c r="B341" t="s">
        <v>36</v>
      </c>
      <c r="C341" s="1">
        <v>42880</v>
      </c>
      <c r="D341" t="s">
        <v>127</v>
      </c>
      <c r="E341">
        <v>2</v>
      </c>
      <c r="F341" s="12">
        <v>132</v>
      </c>
      <c r="G341">
        <v>450</v>
      </c>
      <c r="H341" s="13">
        <v>59371.41</v>
      </c>
      <c r="I341" s="1">
        <v>43233</v>
      </c>
      <c r="J341">
        <v>5</v>
      </c>
      <c r="K341">
        <v>266</v>
      </c>
      <c r="L341">
        <v>57</v>
      </c>
      <c r="M341" t="s">
        <v>159</v>
      </c>
      <c r="N341" t="s">
        <v>154</v>
      </c>
    </row>
    <row r="342" spans="1:14" x14ac:dyDescent="0.25">
      <c r="A342" t="s">
        <v>45</v>
      </c>
      <c r="B342" t="s">
        <v>38</v>
      </c>
      <c r="C342" s="1">
        <v>43534</v>
      </c>
      <c r="D342" t="s">
        <v>127</v>
      </c>
      <c r="E342">
        <v>2</v>
      </c>
      <c r="F342" s="12">
        <v>132</v>
      </c>
      <c r="G342">
        <v>427</v>
      </c>
      <c r="H342" s="13">
        <v>56335.41</v>
      </c>
      <c r="I342" s="1">
        <v>43592</v>
      </c>
      <c r="J342">
        <v>5</v>
      </c>
      <c r="K342">
        <v>85</v>
      </c>
      <c r="L342">
        <v>57</v>
      </c>
      <c r="M342" t="s">
        <v>159</v>
      </c>
      <c r="N342" t="s">
        <v>154</v>
      </c>
    </row>
    <row r="343" spans="1:14" x14ac:dyDescent="0.25">
      <c r="A343" t="s">
        <v>81</v>
      </c>
      <c r="B343" t="s">
        <v>78</v>
      </c>
      <c r="C343" s="1">
        <v>43932</v>
      </c>
      <c r="D343" t="s">
        <v>127</v>
      </c>
      <c r="E343">
        <v>2</v>
      </c>
      <c r="F343" s="12">
        <v>132</v>
      </c>
      <c r="G343">
        <v>772</v>
      </c>
      <c r="H343" s="13">
        <v>101875.41</v>
      </c>
      <c r="I343" s="1">
        <v>44025</v>
      </c>
      <c r="J343">
        <v>7</v>
      </c>
      <c r="K343">
        <v>346</v>
      </c>
      <c r="L343">
        <v>51</v>
      </c>
      <c r="M343" t="s">
        <v>156</v>
      </c>
      <c r="N343" t="s">
        <v>154</v>
      </c>
    </row>
    <row r="344" spans="1:14" x14ac:dyDescent="0.25">
      <c r="A344" t="s">
        <v>102</v>
      </c>
      <c r="B344" t="s">
        <v>99</v>
      </c>
      <c r="C344" s="1">
        <v>43488</v>
      </c>
      <c r="D344" t="s">
        <v>127</v>
      </c>
      <c r="E344">
        <v>2</v>
      </c>
      <c r="F344" s="12">
        <v>132</v>
      </c>
      <c r="G344">
        <v>445</v>
      </c>
      <c r="H344" s="13">
        <v>58711.41</v>
      </c>
      <c r="I344" s="1">
        <v>44345</v>
      </c>
      <c r="J344">
        <v>5</v>
      </c>
      <c r="K344">
        <v>2</v>
      </c>
      <c r="L344">
        <v>61</v>
      </c>
      <c r="M344" t="s">
        <v>157</v>
      </c>
      <c r="N344" t="s">
        <v>154</v>
      </c>
    </row>
    <row r="345" spans="1:14" x14ac:dyDescent="0.25">
      <c r="A345" t="s">
        <v>62</v>
      </c>
      <c r="B345" t="s">
        <v>57</v>
      </c>
      <c r="C345" s="1">
        <v>43724</v>
      </c>
      <c r="D345" t="s">
        <v>127</v>
      </c>
      <c r="E345">
        <v>2</v>
      </c>
      <c r="F345" s="12">
        <v>132</v>
      </c>
      <c r="G345">
        <v>221</v>
      </c>
      <c r="H345" s="13">
        <v>29143.41</v>
      </c>
      <c r="I345" s="1">
        <v>43729</v>
      </c>
      <c r="J345">
        <v>9</v>
      </c>
      <c r="K345">
        <v>460</v>
      </c>
      <c r="L345">
        <v>56</v>
      </c>
      <c r="M345" t="s">
        <v>159</v>
      </c>
      <c r="N345" t="s">
        <v>154</v>
      </c>
    </row>
    <row r="346" spans="1:14" x14ac:dyDescent="0.25">
      <c r="A346" t="s">
        <v>117</v>
      </c>
      <c r="B346" t="s">
        <v>111</v>
      </c>
      <c r="C346" s="1">
        <v>42729</v>
      </c>
      <c r="D346" t="s">
        <v>127</v>
      </c>
      <c r="E346">
        <v>2</v>
      </c>
      <c r="F346" s="12">
        <v>132</v>
      </c>
      <c r="G346">
        <v>270</v>
      </c>
      <c r="H346" s="13">
        <v>35611.410000000003</v>
      </c>
      <c r="I346" s="1">
        <v>43638</v>
      </c>
      <c r="J346">
        <v>6</v>
      </c>
      <c r="K346">
        <v>475</v>
      </c>
      <c r="L346">
        <v>53</v>
      </c>
      <c r="M346" t="s">
        <v>156</v>
      </c>
      <c r="N346" t="s">
        <v>154</v>
      </c>
    </row>
    <row r="347" spans="1:14" x14ac:dyDescent="0.25">
      <c r="A347" t="s">
        <v>92</v>
      </c>
      <c r="B347" t="s">
        <v>88</v>
      </c>
      <c r="C347" s="1">
        <v>42660</v>
      </c>
      <c r="D347" t="s">
        <v>127</v>
      </c>
      <c r="E347">
        <v>2</v>
      </c>
      <c r="F347" s="12">
        <v>132</v>
      </c>
      <c r="G347">
        <v>560</v>
      </c>
      <c r="H347" s="13">
        <v>73891.41</v>
      </c>
      <c r="I347" s="1">
        <v>43453</v>
      </c>
      <c r="J347">
        <v>12</v>
      </c>
      <c r="K347">
        <v>132</v>
      </c>
      <c r="L347">
        <v>58</v>
      </c>
      <c r="M347" t="s">
        <v>159</v>
      </c>
      <c r="N347" t="s">
        <v>154</v>
      </c>
    </row>
    <row r="348" spans="1:14" x14ac:dyDescent="0.25">
      <c r="A348" t="s">
        <v>33</v>
      </c>
      <c r="B348" t="s">
        <v>29</v>
      </c>
      <c r="C348" s="1">
        <v>42795</v>
      </c>
      <c r="D348" t="s">
        <v>127</v>
      </c>
      <c r="E348">
        <v>2</v>
      </c>
      <c r="F348" s="12">
        <v>132</v>
      </c>
      <c r="G348">
        <v>222</v>
      </c>
      <c r="H348" s="13">
        <v>29275.41</v>
      </c>
      <c r="I348" s="1">
        <v>43375</v>
      </c>
      <c r="J348">
        <v>10</v>
      </c>
      <c r="K348">
        <v>280</v>
      </c>
      <c r="L348">
        <v>60</v>
      </c>
      <c r="M348" t="s">
        <v>159</v>
      </c>
      <c r="N348" t="s">
        <v>153</v>
      </c>
    </row>
    <row r="349" spans="1:14" x14ac:dyDescent="0.25">
      <c r="A349" t="s">
        <v>43</v>
      </c>
      <c r="B349" t="s">
        <v>37</v>
      </c>
      <c r="C349" s="1">
        <v>43490</v>
      </c>
      <c r="D349" t="s">
        <v>127</v>
      </c>
      <c r="E349">
        <v>2</v>
      </c>
      <c r="F349" s="12">
        <v>132</v>
      </c>
      <c r="G349">
        <v>402</v>
      </c>
      <c r="H349" s="13">
        <v>53035.41</v>
      </c>
      <c r="I349" s="1">
        <v>44129</v>
      </c>
      <c r="J349">
        <v>10</v>
      </c>
      <c r="K349">
        <v>461</v>
      </c>
      <c r="L349">
        <v>55</v>
      </c>
      <c r="M349" t="s">
        <v>156</v>
      </c>
      <c r="N349" t="s">
        <v>154</v>
      </c>
    </row>
    <row r="350" spans="1:14" x14ac:dyDescent="0.25">
      <c r="A350" t="s">
        <v>46</v>
      </c>
      <c r="B350" t="s">
        <v>39</v>
      </c>
      <c r="C350" s="1">
        <v>43490</v>
      </c>
      <c r="D350" t="s">
        <v>127</v>
      </c>
      <c r="E350">
        <v>2</v>
      </c>
      <c r="F350" s="12">
        <v>132</v>
      </c>
      <c r="G350">
        <v>1183</v>
      </c>
      <c r="H350" s="13">
        <v>156127.41</v>
      </c>
      <c r="I350" s="1">
        <v>44316</v>
      </c>
      <c r="J350">
        <v>4</v>
      </c>
      <c r="K350">
        <v>413</v>
      </c>
      <c r="L350">
        <v>34</v>
      </c>
      <c r="M350" t="s">
        <v>164</v>
      </c>
      <c r="N350" t="s">
        <v>153</v>
      </c>
    </row>
    <row r="351" spans="1:14" x14ac:dyDescent="0.25">
      <c r="A351" t="s">
        <v>74</v>
      </c>
      <c r="B351" t="s">
        <v>69</v>
      </c>
      <c r="C351" s="1">
        <v>42228</v>
      </c>
      <c r="D351" t="s">
        <v>127</v>
      </c>
      <c r="E351">
        <v>2</v>
      </c>
      <c r="F351" s="12">
        <v>132</v>
      </c>
      <c r="G351">
        <v>334</v>
      </c>
      <c r="H351" s="13">
        <v>44059.41</v>
      </c>
      <c r="I351" s="1">
        <v>42365</v>
      </c>
      <c r="J351">
        <v>12</v>
      </c>
      <c r="K351">
        <v>110</v>
      </c>
      <c r="L351">
        <v>54</v>
      </c>
      <c r="M351" t="s">
        <v>156</v>
      </c>
      <c r="N351" t="s">
        <v>153</v>
      </c>
    </row>
    <row r="352" spans="1:14" x14ac:dyDescent="0.25">
      <c r="A352" t="s">
        <v>83</v>
      </c>
      <c r="B352" t="s">
        <v>84</v>
      </c>
      <c r="C352" s="1">
        <v>43427</v>
      </c>
      <c r="D352" t="s">
        <v>127</v>
      </c>
      <c r="E352">
        <v>2</v>
      </c>
      <c r="F352" s="12">
        <v>132</v>
      </c>
      <c r="G352">
        <v>245</v>
      </c>
      <c r="H352" s="13">
        <v>32311.41</v>
      </c>
      <c r="I352" s="1">
        <v>44172</v>
      </c>
      <c r="J352">
        <v>12</v>
      </c>
      <c r="K352">
        <v>146</v>
      </c>
      <c r="L352">
        <v>56</v>
      </c>
      <c r="M352" t="s">
        <v>159</v>
      </c>
      <c r="N352" t="s">
        <v>154</v>
      </c>
    </row>
    <row r="353" spans="1:14" x14ac:dyDescent="0.25">
      <c r="A353" t="s">
        <v>80</v>
      </c>
      <c r="B353" t="s">
        <v>77</v>
      </c>
      <c r="C353" s="1">
        <v>43282</v>
      </c>
      <c r="D353" t="s">
        <v>127</v>
      </c>
      <c r="E353">
        <v>2</v>
      </c>
      <c r="F353" s="12">
        <v>132</v>
      </c>
      <c r="G353">
        <v>374</v>
      </c>
      <c r="H353" s="13">
        <v>49339.41</v>
      </c>
      <c r="I353" s="1">
        <v>43467</v>
      </c>
      <c r="J353">
        <v>1</v>
      </c>
      <c r="K353">
        <v>551</v>
      </c>
      <c r="L353">
        <v>52</v>
      </c>
      <c r="M353" t="s">
        <v>156</v>
      </c>
      <c r="N353" t="s">
        <v>153</v>
      </c>
    </row>
    <row r="354" spans="1:14" x14ac:dyDescent="0.25">
      <c r="A354" t="s">
        <v>104</v>
      </c>
      <c r="B354" t="s">
        <v>101</v>
      </c>
      <c r="C354" s="1">
        <v>43296</v>
      </c>
      <c r="D354" t="s">
        <v>127</v>
      </c>
      <c r="E354">
        <v>2</v>
      </c>
      <c r="F354" s="12">
        <v>132</v>
      </c>
      <c r="G354">
        <v>881</v>
      </c>
      <c r="H354" s="13">
        <v>116263.41</v>
      </c>
      <c r="I354" s="1">
        <v>43908</v>
      </c>
      <c r="J354">
        <v>3</v>
      </c>
      <c r="K354">
        <v>449</v>
      </c>
      <c r="L354">
        <v>56</v>
      </c>
      <c r="M354" t="s">
        <v>159</v>
      </c>
      <c r="N354" t="s">
        <v>154</v>
      </c>
    </row>
    <row r="355" spans="1:14" x14ac:dyDescent="0.25">
      <c r="A355" t="s">
        <v>105</v>
      </c>
      <c r="B355" t="s">
        <v>106</v>
      </c>
      <c r="C355" s="1">
        <v>43451</v>
      </c>
      <c r="D355" t="s">
        <v>127</v>
      </c>
      <c r="E355">
        <v>2</v>
      </c>
      <c r="F355" s="12">
        <v>132</v>
      </c>
      <c r="G355">
        <v>1431</v>
      </c>
      <c r="H355" s="13">
        <v>188863.41</v>
      </c>
      <c r="I355" s="1">
        <v>43544</v>
      </c>
      <c r="J355">
        <v>3</v>
      </c>
      <c r="K355">
        <v>512</v>
      </c>
      <c r="L355">
        <v>55</v>
      </c>
      <c r="M355" t="s">
        <v>156</v>
      </c>
      <c r="N355" t="s">
        <v>154</v>
      </c>
    </row>
    <row r="356" spans="1:14" x14ac:dyDescent="0.25">
      <c r="A356" t="s">
        <v>63</v>
      </c>
      <c r="B356" t="s">
        <v>58</v>
      </c>
      <c r="C356" s="1">
        <v>43155</v>
      </c>
      <c r="D356" t="s">
        <v>127</v>
      </c>
      <c r="E356">
        <v>2</v>
      </c>
      <c r="F356" s="12">
        <v>132</v>
      </c>
      <c r="G356">
        <v>218</v>
      </c>
      <c r="H356" s="13">
        <v>28747.41</v>
      </c>
      <c r="I356" s="1">
        <v>44399</v>
      </c>
      <c r="J356">
        <v>7</v>
      </c>
      <c r="K356">
        <v>96</v>
      </c>
      <c r="L356">
        <v>51</v>
      </c>
      <c r="M356" t="s">
        <v>156</v>
      </c>
      <c r="N356" t="s">
        <v>154</v>
      </c>
    </row>
    <row r="357" spans="1:14" x14ac:dyDescent="0.25">
      <c r="A357" t="s">
        <v>51</v>
      </c>
      <c r="B357" t="s">
        <v>49</v>
      </c>
      <c r="C357" s="1">
        <v>42394</v>
      </c>
      <c r="D357" t="s">
        <v>127</v>
      </c>
      <c r="E357">
        <v>2</v>
      </c>
      <c r="F357" s="12">
        <v>132</v>
      </c>
      <c r="G357">
        <v>242</v>
      </c>
      <c r="H357" s="13">
        <v>31915.41</v>
      </c>
      <c r="I357" s="1">
        <v>43389</v>
      </c>
      <c r="J357">
        <v>10</v>
      </c>
      <c r="K357">
        <v>455</v>
      </c>
      <c r="L357">
        <v>31</v>
      </c>
      <c r="M357" t="s">
        <v>164</v>
      </c>
      <c r="N357" t="s">
        <v>154</v>
      </c>
    </row>
    <row r="358" spans="1:14" x14ac:dyDescent="0.25">
      <c r="A358" t="s">
        <v>116</v>
      </c>
      <c r="B358" t="s">
        <v>110</v>
      </c>
      <c r="C358" s="1">
        <v>42277</v>
      </c>
      <c r="D358" t="s">
        <v>127</v>
      </c>
      <c r="E358">
        <v>2</v>
      </c>
      <c r="F358" s="12">
        <v>132</v>
      </c>
      <c r="G358">
        <v>490</v>
      </c>
      <c r="H358" s="13">
        <v>64651.41</v>
      </c>
      <c r="I358" s="1">
        <v>43712</v>
      </c>
      <c r="J358">
        <v>9</v>
      </c>
      <c r="K358">
        <v>401</v>
      </c>
      <c r="L358">
        <v>54</v>
      </c>
      <c r="M358" t="s">
        <v>156</v>
      </c>
      <c r="N358" t="s">
        <v>154</v>
      </c>
    </row>
    <row r="359" spans="1:14" x14ac:dyDescent="0.25">
      <c r="A359" t="s">
        <v>81</v>
      </c>
      <c r="B359" t="s">
        <v>78</v>
      </c>
      <c r="C359" s="1">
        <v>43932</v>
      </c>
      <c r="D359" t="s">
        <v>127</v>
      </c>
      <c r="E359">
        <v>2</v>
      </c>
      <c r="F359" s="12">
        <v>132</v>
      </c>
      <c r="G359">
        <v>481</v>
      </c>
      <c r="H359" s="13">
        <v>63463.41</v>
      </c>
      <c r="I359" s="1">
        <v>44070</v>
      </c>
      <c r="J359">
        <v>8</v>
      </c>
      <c r="K359">
        <v>586</v>
      </c>
      <c r="L359">
        <v>57</v>
      </c>
      <c r="M359" t="s">
        <v>159</v>
      </c>
      <c r="N359" t="s">
        <v>154</v>
      </c>
    </row>
    <row r="360" spans="1:14" x14ac:dyDescent="0.25">
      <c r="A360" t="s">
        <v>62</v>
      </c>
      <c r="B360" t="s">
        <v>57</v>
      </c>
      <c r="C360" s="1">
        <v>43724</v>
      </c>
      <c r="D360" t="s">
        <v>127</v>
      </c>
      <c r="E360">
        <v>2</v>
      </c>
      <c r="F360" s="12">
        <v>132</v>
      </c>
      <c r="G360">
        <v>678</v>
      </c>
      <c r="H360" s="13">
        <v>89467.41</v>
      </c>
      <c r="I360" s="1">
        <v>44102</v>
      </c>
      <c r="J360">
        <v>9</v>
      </c>
      <c r="K360">
        <v>97</v>
      </c>
      <c r="L360">
        <v>26</v>
      </c>
      <c r="M360" t="s">
        <v>158</v>
      </c>
      <c r="N360" t="s">
        <v>154</v>
      </c>
    </row>
    <row r="361" spans="1:14" x14ac:dyDescent="0.25">
      <c r="A361" t="s">
        <v>32</v>
      </c>
      <c r="B361" t="s">
        <v>28</v>
      </c>
      <c r="C361" s="1">
        <v>43161</v>
      </c>
      <c r="D361" t="s">
        <v>127</v>
      </c>
      <c r="E361">
        <v>2</v>
      </c>
      <c r="F361" s="12">
        <v>132</v>
      </c>
      <c r="G361">
        <v>495</v>
      </c>
      <c r="H361" s="13">
        <v>65311.41</v>
      </c>
      <c r="I361" s="1">
        <v>43456</v>
      </c>
      <c r="J361">
        <v>12</v>
      </c>
      <c r="K361">
        <v>248</v>
      </c>
      <c r="L361">
        <v>22</v>
      </c>
      <c r="M361" t="s">
        <v>160</v>
      </c>
      <c r="N361" t="s">
        <v>153</v>
      </c>
    </row>
    <row r="362" spans="1:14" x14ac:dyDescent="0.25">
      <c r="A362" t="s">
        <v>53</v>
      </c>
      <c r="B362" t="s">
        <v>54</v>
      </c>
      <c r="C362" s="1">
        <v>42816</v>
      </c>
      <c r="D362" t="s">
        <v>127</v>
      </c>
      <c r="E362">
        <v>2</v>
      </c>
      <c r="F362" s="12">
        <v>132</v>
      </c>
      <c r="G362">
        <v>1406</v>
      </c>
      <c r="H362" s="13">
        <v>185563.41</v>
      </c>
      <c r="I362" s="1">
        <v>43901</v>
      </c>
      <c r="J362">
        <v>3</v>
      </c>
      <c r="K362">
        <v>446</v>
      </c>
      <c r="L362">
        <v>32</v>
      </c>
      <c r="M362" t="s">
        <v>164</v>
      </c>
      <c r="N362" t="s">
        <v>153</v>
      </c>
    </row>
    <row r="363" spans="1:14" x14ac:dyDescent="0.25">
      <c r="A363" t="s">
        <v>104</v>
      </c>
      <c r="B363" t="s">
        <v>101</v>
      </c>
      <c r="C363" s="1">
        <v>43296</v>
      </c>
      <c r="D363" t="s">
        <v>127</v>
      </c>
      <c r="E363">
        <v>2</v>
      </c>
      <c r="F363" s="12">
        <v>132</v>
      </c>
      <c r="G363">
        <v>331</v>
      </c>
      <c r="H363" s="13">
        <v>43663.41</v>
      </c>
      <c r="I363" s="1">
        <v>44367</v>
      </c>
      <c r="J363">
        <v>6</v>
      </c>
      <c r="K363">
        <v>322</v>
      </c>
      <c r="L363">
        <v>28</v>
      </c>
      <c r="M363" t="s">
        <v>158</v>
      </c>
      <c r="N363" t="s">
        <v>153</v>
      </c>
    </row>
    <row r="364" spans="1:14" x14ac:dyDescent="0.25">
      <c r="A364" t="s">
        <v>102</v>
      </c>
      <c r="B364" t="s">
        <v>99</v>
      </c>
      <c r="C364" s="1">
        <v>43488</v>
      </c>
      <c r="D364" t="s">
        <v>127</v>
      </c>
      <c r="E364">
        <v>2</v>
      </c>
      <c r="F364" s="12">
        <v>132</v>
      </c>
      <c r="G364">
        <v>727</v>
      </c>
      <c r="H364" s="13">
        <v>95935.41</v>
      </c>
      <c r="I364" s="1">
        <v>44234</v>
      </c>
      <c r="J364">
        <v>2</v>
      </c>
      <c r="K364">
        <v>363</v>
      </c>
      <c r="L364">
        <v>52</v>
      </c>
      <c r="M364" t="s">
        <v>156</v>
      </c>
      <c r="N364" t="s">
        <v>154</v>
      </c>
    </row>
    <row r="365" spans="1:14" x14ac:dyDescent="0.25">
      <c r="A365" t="s">
        <v>33</v>
      </c>
      <c r="B365" t="s">
        <v>29</v>
      </c>
      <c r="C365" s="1">
        <v>42795</v>
      </c>
      <c r="D365" t="s">
        <v>127</v>
      </c>
      <c r="E365">
        <v>2</v>
      </c>
      <c r="F365" s="12">
        <v>132</v>
      </c>
      <c r="G365">
        <v>173</v>
      </c>
      <c r="H365" s="13">
        <v>22807.41</v>
      </c>
      <c r="I365" s="1">
        <v>44120</v>
      </c>
      <c r="J365">
        <v>10</v>
      </c>
      <c r="K365">
        <v>101</v>
      </c>
      <c r="L365">
        <v>60</v>
      </c>
      <c r="M365" t="s">
        <v>159</v>
      </c>
      <c r="N365" t="s">
        <v>154</v>
      </c>
    </row>
    <row r="366" spans="1:14" x14ac:dyDescent="0.25">
      <c r="A366" t="s">
        <v>115</v>
      </c>
      <c r="B366" t="s">
        <v>109</v>
      </c>
      <c r="C366" s="1">
        <v>43357</v>
      </c>
      <c r="D366" t="s">
        <v>127</v>
      </c>
      <c r="E366">
        <v>2</v>
      </c>
      <c r="F366" s="12">
        <v>132</v>
      </c>
      <c r="G366">
        <v>459</v>
      </c>
      <c r="H366" s="13">
        <v>60559.41</v>
      </c>
      <c r="I366" s="1">
        <v>43987</v>
      </c>
      <c r="J366">
        <v>6</v>
      </c>
      <c r="K366">
        <v>459</v>
      </c>
      <c r="L366">
        <v>23</v>
      </c>
      <c r="M366" t="s">
        <v>160</v>
      </c>
      <c r="N366" t="s">
        <v>154</v>
      </c>
    </row>
    <row r="367" spans="1:14" x14ac:dyDescent="0.25">
      <c r="A367" t="s">
        <v>83</v>
      </c>
      <c r="B367" t="s">
        <v>84</v>
      </c>
      <c r="C367" s="1">
        <v>43427</v>
      </c>
      <c r="D367" t="s">
        <v>127</v>
      </c>
      <c r="E367">
        <v>2</v>
      </c>
      <c r="F367" s="12">
        <v>132</v>
      </c>
      <c r="G367">
        <v>1990</v>
      </c>
      <c r="H367" s="13">
        <v>262651.40999999997</v>
      </c>
      <c r="I367" s="1">
        <v>43896</v>
      </c>
      <c r="J367">
        <v>3</v>
      </c>
      <c r="K367">
        <v>437</v>
      </c>
      <c r="L367">
        <v>50</v>
      </c>
      <c r="M367" t="s">
        <v>163</v>
      </c>
      <c r="N367" t="s">
        <v>154</v>
      </c>
    </row>
    <row r="368" spans="1:14" x14ac:dyDescent="0.25">
      <c r="A368" t="s">
        <v>117</v>
      </c>
      <c r="B368" t="s">
        <v>111</v>
      </c>
      <c r="C368" s="1">
        <v>42729</v>
      </c>
      <c r="D368" t="s">
        <v>127</v>
      </c>
      <c r="E368">
        <v>2</v>
      </c>
      <c r="F368" s="12">
        <v>132</v>
      </c>
      <c r="G368">
        <v>665</v>
      </c>
      <c r="H368" s="13">
        <v>87751.41</v>
      </c>
      <c r="I368" s="1">
        <v>43912</v>
      </c>
      <c r="J368">
        <v>3</v>
      </c>
      <c r="K368">
        <v>288</v>
      </c>
      <c r="L368">
        <v>49</v>
      </c>
      <c r="M368" t="s">
        <v>163</v>
      </c>
      <c r="N368" t="s">
        <v>154</v>
      </c>
    </row>
    <row r="369" spans="1:14" x14ac:dyDescent="0.25">
      <c r="A369" t="s">
        <v>74</v>
      </c>
      <c r="B369" t="s">
        <v>69</v>
      </c>
      <c r="C369" s="1">
        <v>42228</v>
      </c>
      <c r="D369" t="s">
        <v>127</v>
      </c>
      <c r="E369">
        <v>2</v>
      </c>
      <c r="F369" s="12">
        <v>132</v>
      </c>
      <c r="G369">
        <v>1599</v>
      </c>
      <c r="H369" s="13">
        <v>211039.41</v>
      </c>
      <c r="I369" s="1">
        <v>42405</v>
      </c>
      <c r="J369">
        <v>2</v>
      </c>
      <c r="K369">
        <v>417</v>
      </c>
      <c r="L369">
        <v>45</v>
      </c>
      <c r="M369" t="s">
        <v>162</v>
      </c>
      <c r="N369" t="s">
        <v>154</v>
      </c>
    </row>
    <row r="370" spans="1:14" x14ac:dyDescent="0.25">
      <c r="A370" t="s">
        <v>51</v>
      </c>
      <c r="B370" t="s">
        <v>49</v>
      </c>
      <c r="C370" s="1">
        <v>42394</v>
      </c>
      <c r="D370" t="s">
        <v>127</v>
      </c>
      <c r="E370">
        <v>2</v>
      </c>
      <c r="F370" s="12">
        <v>132</v>
      </c>
      <c r="G370">
        <v>747</v>
      </c>
      <c r="H370" s="13">
        <v>98575.41</v>
      </c>
      <c r="I370" s="1">
        <v>44430</v>
      </c>
      <c r="J370">
        <v>8</v>
      </c>
      <c r="K370">
        <v>298</v>
      </c>
      <c r="L370">
        <v>57</v>
      </c>
      <c r="M370" t="s">
        <v>159</v>
      </c>
      <c r="N370" t="s">
        <v>154</v>
      </c>
    </row>
    <row r="371" spans="1:14" x14ac:dyDescent="0.25">
      <c r="A371" t="s">
        <v>35</v>
      </c>
      <c r="B371" t="s">
        <v>3</v>
      </c>
      <c r="C371" s="1">
        <v>42465</v>
      </c>
      <c r="D371" t="s">
        <v>127</v>
      </c>
      <c r="E371">
        <v>2</v>
      </c>
      <c r="F371" s="12">
        <v>132</v>
      </c>
      <c r="G371">
        <v>453</v>
      </c>
      <c r="H371" s="13">
        <v>59767.41</v>
      </c>
      <c r="I371" s="1">
        <v>43451</v>
      </c>
      <c r="J371">
        <v>12</v>
      </c>
      <c r="K371">
        <v>10</v>
      </c>
      <c r="L371">
        <v>49</v>
      </c>
      <c r="M371" t="s">
        <v>163</v>
      </c>
      <c r="N371" t="s">
        <v>153</v>
      </c>
    </row>
    <row r="372" spans="1:14" x14ac:dyDescent="0.25">
      <c r="A372" t="s">
        <v>34</v>
      </c>
      <c r="B372" t="s">
        <v>30</v>
      </c>
      <c r="C372" s="1">
        <v>43765</v>
      </c>
      <c r="D372" t="s">
        <v>127</v>
      </c>
      <c r="E372">
        <v>2</v>
      </c>
      <c r="F372" s="12">
        <v>132</v>
      </c>
      <c r="G372">
        <v>322</v>
      </c>
      <c r="H372" s="13">
        <v>42475.41</v>
      </c>
      <c r="I372" s="1">
        <v>43850</v>
      </c>
      <c r="J372">
        <v>1</v>
      </c>
      <c r="K372">
        <v>308</v>
      </c>
      <c r="L372">
        <v>29</v>
      </c>
      <c r="M372" t="s">
        <v>158</v>
      </c>
      <c r="N372" t="s">
        <v>153</v>
      </c>
    </row>
    <row r="373" spans="1:14" x14ac:dyDescent="0.25">
      <c r="A373" t="s">
        <v>31</v>
      </c>
      <c r="B373" t="s">
        <v>27</v>
      </c>
      <c r="C373" s="1">
        <v>42433</v>
      </c>
      <c r="D373" t="s">
        <v>127</v>
      </c>
      <c r="E373">
        <v>2</v>
      </c>
      <c r="F373" s="12">
        <v>132</v>
      </c>
      <c r="G373">
        <v>750</v>
      </c>
      <c r="H373" s="13">
        <v>98971.41</v>
      </c>
      <c r="I373" s="1">
        <v>44322</v>
      </c>
      <c r="J373">
        <v>5</v>
      </c>
      <c r="K373">
        <v>404</v>
      </c>
      <c r="L373">
        <v>45</v>
      </c>
      <c r="M373" t="s">
        <v>162</v>
      </c>
      <c r="N373" t="s">
        <v>154</v>
      </c>
    </row>
    <row r="374" spans="1:14" x14ac:dyDescent="0.25">
      <c r="A374" t="s">
        <v>31</v>
      </c>
      <c r="B374" t="s">
        <v>27</v>
      </c>
      <c r="C374" s="1">
        <v>42433</v>
      </c>
      <c r="D374" t="s">
        <v>127</v>
      </c>
      <c r="E374">
        <v>2</v>
      </c>
      <c r="F374" s="12">
        <v>132</v>
      </c>
      <c r="G374">
        <v>210</v>
      </c>
      <c r="H374" s="13">
        <v>27691.41</v>
      </c>
      <c r="I374" s="1">
        <v>43471</v>
      </c>
      <c r="J374">
        <v>1</v>
      </c>
      <c r="K374">
        <v>94</v>
      </c>
      <c r="L374">
        <v>51</v>
      </c>
      <c r="M374" t="s">
        <v>156</v>
      </c>
      <c r="N374" t="s">
        <v>153</v>
      </c>
    </row>
    <row r="375" spans="1:14" x14ac:dyDescent="0.25">
      <c r="A375" t="s">
        <v>89</v>
      </c>
      <c r="B375" t="s">
        <v>85</v>
      </c>
      <c r="C375" s="1">
        <v>43093</v>
      </c>
      <c r="D375" t="s">
        <v>127</v>
      </c>
      <c r="E375">
        <v>2</v>
      </c>
      <c r="F375" s="12">
        <v>132</v>
      </c>
      <c r="G375">
        <v>673</v>
      </c>
      <c r="H375" s="13">
        <v>88807.41</v>
      </c>
      <c r="I375" s="1">
        <v>44041</v>
      </c>
      <c r="J375">
        <v>7</v>
      </c>
      <c r="K375">
        <v>270</v>
      </c>
      <c r="L375">
        <v>26</v>
      </c>
      <c r="M375" t="s">
        <v>158</v>
      </c>
      <c r="N375" t="s">
        <v>154</v>
      </c>
    </row>
    <row r="376" spans="1:14" x14ac:dyDescent="0.25">
      <c r="A376" t="s">
        <v>52</v>
      </c>
      <c r="B376" t="s">
        <v>50</v>
      </c>
      <c r="C376" s="1">
        <v>43917</v>
      </c>
      <c r="D376" t="s">
        <v>127</v>
      </c>
      <c r="E376">
        <v>2</v>
      </c>
      <c r="F376" s="12">
        <v>132</v>
      </c>
      <c r="G376">
        <v>1435</v>
      </c>
      <c r="H376" s="13">
        <v>189391.41</v>
      </c>
      <c r="I376" s="1">
        <v>43946</v>
      </c>
      <c r="J376">
        <v>4</v>
      </c>
      <c r="K376">
        <v>210</v>
      </c>
      <c r="L376">
        <v>55</v>
      </c>
      <c r="M376" t="s">
        <v>156</v>
      </c>
      <c r="N376" t="s">
        <v>154</v>
      </c>
    </row>
    <row r="377" spans="1:14" x14ac:dyDescent="0.25">
      <c r="A377" t="s">
        <v>45</v>
      </c>
      <c r="B377" t="s">
        <v>38</v>
      </c>
      <c r="C377" s="1">
        <v>43534</v>
      </c>
      <c r="D377" t="s">
        <v>127</v>
      </c>
      <c r="E377">
        <v>2</v>
      </c>
      <c r="F377" s="12">
        <v>132</v>
      </c>
      <c r="G377">
        <v>482</v>
      </c>
      <c r="H377" s="13">
        <v>63595.41</v>
      </c>
      <c r="I377" s="1">
        <v>43812</v>
      </c>
      <c r="J377">
        <v>12</v>
      </c>
      <c r="K377">
        <v>113</v>
      </c>
      <c r="L377">
        <v>56</v>
      </c>
      <c r="M377" t="s">
        <v>159</v>
      </c>
      <c r="N377" t="s">
        <v>154</v>
      </c>
    </row>
    <row r="378" spans="1:14" x14ac:dyDescent="0.25">
      <c r="A378" t="s">
        <v>114</v>
      </c>
      <c r="B378" t="s">
        <v>108</v>
      </c>
      <c r="C378" s="1">
        <v>42808</v>
      </c>
      <c r="D378" t="s">
        <v>127</v>
      </c>
      <c r="E378">
        <v>2</v>
      </c>
      <c r="F378" s="12">
        <v>132</v>
      </c>
      <c r="G378">
        <v>1940</v>
      </c>
      <c r="H378" s="13">
        <v>256051.41</v>
      </c>
      <c r="I378" s="1">
        <v>43134</v>
      </c>
      <c r="J378">
        <v>2</v>
      </c>
      <c r="K378">
        <v>456</v>
      </c>
      <c r="L378">
        <v>59</v>
      </c>
      <c r="M378" t="s">
        <v>159</v>
      </c>
      <c r="N378" t="s">
        <v>154</v>
      </c>
    </row>
    <row r="379" spans="1:14" x14ac:dyDescent="0.25">
      <c r="A379" t="s">
        <v>102</v>
      </c>
      <c r="B379" t="s">
        <v>99</v>
      </c>
      <c r="C379" s="1">
        <v>43488</v>
      </c>
      <c r="D379" t="s">
        <v>127</v>
      </c>
      <c r="E379">
        <v>2</v>
      </c>
      <c r="F379" s="12">
        <v>132</v>
      </c>
      <c r="G379">
        <v>173</v>
      </c>
      <c r="H379" s="13">
        <v>22807.41</v>
      </c>
      <c r="I379" s="1">
        <v>44006</v>
      </c>
      <c r="J379">
        <v>6</v>
      </c>
      <c r="K379">
        <v>281</v>
      </c>
      <c r="L379">
        <v>20</v>
      </c>
      <c r="M379" t="s">
        <v>160</v>
      </c>
      <c r="N379" t="s">
        <v>153</v>
      </c>
    </row>
    <row r="380" spans="1:14" x14ac:dyDescent="0.25">
      <c r="A380" t="s">
        <v>81</v>
      </c>
      <c r="B380" t="s">
        <v>78</v>
      </c>
      <c r="C380" s="1">
        <v>43932</v>
      </c>
      <c r="D380" t="s">
        <v>127</v>
      </c>
      <c r="E380">
        <v>2</v>
      </c>
      <c r="F380" s="12">
        <v>132</v>
      </c>
      <c r="G380">
        <v>770</v>
      </c>
      <c r="H380" s="13">
        <v>101611.41</v>
      </c>
      <c r="I380" s="1">
        <v>44175</v>
      </c>
      <c r="J380">
        <v>12</v>
      </c>
      <c r="K380">
        <v>136</v>
      </c>
      <c r="L380">
        <v>51</v>
      </c>
      <c r="M380" t="s">
        <v>156</v>
      </c>
      <c r="N380" t="s">
        <v>153</v>
      </c>
    </row>
    <row r="381" spans="1:14" x14ac:dyDescent="0.25">
      <c r="A381" t="s">
        <v>33</v>
      </c>
      <c r="B381" t="s">
        <v>29</v>
      </c>
      <c r="C381" s="1">
        <v>42795</v>
      </c>
      <c r="D381" t="s">
        <v>127</v>
      </c>
      <c r="E381">
        <v>2</v>
      </c>
      <c r="F381" s="12">
        <v>132</v>
      </c>
      <c r="G381">
        <v>933</v>
      </c>
      <c r="H381" s="13">
        <v>123127.41</v>
      </c>
      <c r="I381" s="1">
        <v>43172</v>
      </c>
      <c r="J381">
        <v>3</v>
      </c>
      <c r="K381">
        <v>249</v>
      </c>
      <c r="L381">
        <v>46</v>
      </c>
      <c r="M381" t="s">
        <v>163</v>
      </c>
      <c r="N381" t="s">
        <v>154</v>
      </c>
    </row>
    <row r="382" spans="1:14" x14ac:dyDescent="0.25">
      <c r="A382" t="s">
        <v>71</v>
      </c>
      <c r="B382" t="s">
        <v>66</v>
      </c>
      <c r="C382" s="1">
        <v>43621</v>
      </c>
      <c r="D382" t="s">
        <v>127</v>
      </c>
      <c r="E382">
        <v>2</v>
      </c>
      <c r="F382" s="12">
        <v>132</v>
      </c>
      <c r="G382">
        <v>1025</v>
      </c>
      <c r="H382" s="13">
        <v>135271.41</v>
      </c>
      <c r="I382" s="1">
        <v>44315</v>
      </c>
      <c r="J382">
        <v>4</v>
      </c>
      <c r="K382">
        <v>267</v>
      </c>
      <c r="L382">
        <v>24</v>
      </c>
      <c r="M382" t="s">
        <v>160</v>
      </c>
      <c r="N382" t="s">
        <v>153</v>
      </c>
    </row>
    <row r="383" spans="1:14" x14ac:dyDescent="0.25">
      <c r="A383" t="s">
        <v>41</v>
      </c>
      <c r="B383" t="s">
        <v>36</v>
      </c>
      <c r="C383" s="1">
        <v>42880</v>
      </c>
      <c r="D383" t="s">
        <v>127</v>
      </c>
      <c r="E383">
        <v>2</v>
      </c>
      <c r="F383" s="12">
        <v>132</v>
      </c>
      <c r="G383">
        <v>146</v>
      </c>
      <c r="H383" s="13">
        <v>19243.41</v>
      </c>
      <c r="I383" s="1">
        <v>44060</v>
      </c>
      <c r="J383">
        <v>8</v>
      </c>
      <c r="K383">
        <v>26</v>
      </c>
      <c r="L383">
        <v>54</v>
      </c>
      <c r="M383" t="s">
        <v>156</v>
      </c>
      <c r="N383" t="s">
        <v>154</v>
      </c>
    </row>
    <row r="384" spans="1:14" x14ac:dyDescent="0.25">
      <c r="A384" t="s">
        <v>90</v>
      </c>
      <c r="B384" t="s">
        <v>86</v>
      </c>
      <c r="C384" s="1">
        <v>43995</v>
      </c>
      <c r="D384" t="s">
        <v>127</v>
      </c>
      <c r="E384">
        <v>2</v>
      </c>
      <c r="F384" s="12">
        <v>132</v>
      </c>
      <c r="G384">
        <v>304</v>
      </c>
      <c r="H384" s="13">
        <v>40099.410000000003</v>
      </c>
      <c r="I384" s="1">
        <v>44181</v>
      </c>
      <c r="J384">
        <v>12</v>
      </c>
      <c r="K384">
        <v>193</v>
      </c>
      <c r="L384">
        <v>32</v>
      </c>
      <c r="M384" t="s">
        <v>164</v>
      </c>
      <c r="N384" t="s">
        <v>154</v>
      </c>
    </row>
    <row r="385" spans="1:14" x14ac:dyDescent="0.25">
      <c r="A385" t="s">
        <v>51</v>
      </c>
      <c r="B385" t="s">
        <v>49</v>
      </c>
      <c r="C385" s="1">
        <v>42394</v>
      </c>
      <c r="D385" t="s">
        <v>127</v>
      </c>
      <c r="E385">
        <v>2</v>
      </c>
      <c r="F385" s="12">
        <v>132</v>
      </c>
      <c r="G385">
        <v>1144</v>
      </c>
      <c r="H385" s="13">
        <v>150979.41</v>
      </c>
      <c r="I385" s="1">
        <v>42788</v>
      </c>
      <c r="J385">
        <v>2</v>
      </c>
      <c r="K385">
        <v>480</v>
      </c>
      <c r="L385">
        <v>39</v>
      </c>
      <c r="M385" t="s">
        <v>161</v>
      </c>
      <c r="N385" t="s">
        <v>153</v>
      </c>
    </row>
    <row r="386" spans="1:14" x14ac:dyDescent="0.25">
      <c r="A386" t="s">
        <v>82</v>
      </c>
      <c r="B386" t="s">
        <v>79</v>
      </c>
      <c r="C386" s="1">
        <v>43278</v>
      </c>
      <c r="D386" t="s">
        <v>127</v>
      </c>
      <c r="E386">
        <v>2</v>
      </c>
      <c r="F386" s="12">
        <v>132</v>
      </c>
      <c r="G386">
        <v>816</v>
      </c>
      <c r="H386" s="13">
        <v>107683.41</v>
      </c>
      <c r="I386" s="1">
        <v>44264</v>
      </c>
      <c r="J386">
        <v>3</v>
      </c>
      <c r="K386">
        <v>203</v>
      </c>
      <c r="L386">
        <v>51</v>
      </c>
      <c r="M386" t="s">
        <v>156</v>
      </c>
      <c r="N386" t="s">
        <v>154</v>
      </c>
    </row>
    <row r="387" spans="1:14" x14ac:dyDescent="0.25">
      <c r="A387" t="s">
        <v>47</v>
      </c>
      <c r="B387" t="s">
        <v>48</v>
      </c>
      <c r="C387" s="1">
        <v>42542</v>
      </c>
      <c r="D387" t="s">
        <v>127</v>
      </c>
      <c r="E387">
        <v>2</v>
      </c>
      <c r="F387" s="12">
        <v>132</v>
      </c>
      <c r="G387">
        <v>168</v>
      </c>
      <c r="H387" s="13">
        <v>22147.41</v>
      </c>
      <c r="I387" s="1">
        <v>44003</v>
      </c>
      <c r="J387">
        <v>6</v>
      </c>
      <c r="K387">
        <v>495</v>
      </c>
      <c r="L387">
        <v>52</v>
      </c>
      <c r="M387" t="s">
        <v>156</v>
      </c>
      <c r="N387" t="s">
        <v>153</v>
      </c>
    </row>
    <row r="388" spans="1:14" x14ac:dyDescent="0.25">
      <c r="A388" t="s">
        <v>116</v>
      </c>
      <c r="B388" t="s">
        <v>110</v>
      </c>
      <c r="C388" s="1">
        <v>42277</v>
      </c>
      <c r="D388" t="s">
        <v>127</v>
      </c>
      <c r="E388">
        <v>2</v>
      </c>
      <c r="F388" s="12">
        <v>132</v>
      </c>
      <c r="G388">
        <v>523</v>
      </c>
      <c r="H388" s="13">
        <v>69007.41</v>
      </c>
      <c r="I388" s="1">
        <v>42380</v>
      </c>
      <c r="J388">
        <v>1</v>
      </c>
      <c r="K388">
        <v>364</v>
      </c>
      <c r="L388">
        <v>56</v>
      </c>
      <c r="M388" t="s">
        <v>159</v>
      </c>
      <c r="N388" t="s">
        <v>154</v>
      </c>
    </row>
    <row r="389" spans="1:14" x14ac:dyDescent="0.25">
      <c r="A389" t="s">
        <v>53</v>
      </c>
      <c r="B389" t="s">
        <v>54</v>
      </c>
      <c r="C389" s="1">
        <v>42816</v>
      </c>
      <c r="D389" t="s">
        <v>127</v>
      </c>
      <c r="E389">
        <v>2</v>
      </c>
      <c r="F389" s="12">
        <v>132</v>
      </c>
      <c r="G389">
        <v>464</v>
      </c>
      <c r="H389" s="13">
        <v>61219.41</v>
      </c>
      <c r="I389" s="1">
        <v>42868</v>
      </c>
      <c r="J389">
        <v>5</v>
      </c>
      <c r="K389">
        <v>127</v>
      </c>
      <c r="L389">
        <v>59</v>
      </c>
      <c r="M389" t="s">
        <v>159</v>
      </c>
      <c r="N389" t="s">
        <v>154</v>
      </c>
    </row>
    <row r="390" spans="1:14" x14ac:dyDescent="0.25">
      <c r="A390" t="s">
        <v>113</v>
      </c>
      <c r="B390" t="s">
        <v>107</v>
      </c>
      <c r="C390" s="1">
        <v>43912</v>
      </c>
      <c r="D390" t="s">
        <v>127</v>
      </c>
      <c r="E390">
        <v>2</v>
      </c>
      <c r="F390" s="12">
        <v>132</v>
      </c>
      <c r="G390">
        <v>794</v>
      </c>
      <c r="H390" s="13">
        <v>104779.41</v>
      </c>
      <c r="I390" s="1">
        <v>44321</v>
      </c>
      <c r="J390">
        <v>5</v>
      </c>
      <c r="K390">
        <v>54</v>
      </c>
      <c r="L390">
        <v>42</v>
      </c>
      <c r="M390" t="s">
        <v>162</v>
      </c>
      <c r="N390" t="s">
        <v>153</v>
      </c>
    </row>
    <row r="391" spans="1:14" x14ac:dyDescent="0.25">
      <c r="A391" t="s">
        <v>117</v>
      </c>
      <c r="B391" t="s">
        <v>111</v>
      </c>
      <c r="C391" s="1">
        <v>42729</v>
      </c>
      <c r="D391" t="s">
        <v>127</v>
      </c>
      <c r="E391">
        <v>2</v>
      </c>
      <c r="F391" s="12">
        <v>132</v>
      </c>
      <c r="G391">
        <v>500</v>
      </c>
      <c r="H391" s="13">
        <v>65971.41</v>
      </c>
      <c r="I391" s="1">
        <v>43673</v>
      </c>
      <c r="J391">
        <v>7</v>
      </c>
      <c r="K391">
        <v>424</v>
      </c>
      <c r="L391">
        <v>27</v>
      </c>
      <c r="M391" t="s">
        <v>158</v>
      </c>
      <c r="N391" t="s">
        <v>153</v>
      </c>
    </row>
    <row r="392" spans="1:14" x14ac:dyDescent="0.25">
      <c r="A392" t="s">
        <v>32</v>
      </c>
      <c r="B392" t="s">
        <v>28</v>
      </c>
      <c r="C392" s="1">
        <v>43161</v>
      </c>
      <c r="D392" t="s">
        <v>127</v>
      </c>
      <c r="E392">
        <v>2</v>
      </c>
      <c r="F392" s="12">
        <v>132</v>
      </c>
      <c r="G392">
        <v>739</v>
      </c>
      <c r="H392" s="13">
        <v>97519.41</v>
      </c>
      <c r="I392" s="1">
        <v>43960</v>
      </c>
      <c r="J392">
        <v>5</v>
      </c>
      <c r="K392">
        <v>306</v>
      </c>
      <c r="L392">
        <v>55</v>
      </c>
      <c r="M392" t="s">
        <v>156</v>
      </c>
      <c r="N392" t="s">
        <v>154</v>
      </c>
    </row>
    <row r="393" spans="1:14" x14ac:dyDescent="0.25">
      <c r="A393" t="s">
        <v>43</v>
      </c>
      <c r="B393" t="s">
        <v>37</v>
      </c>
      <c r="C393" s="1">
        <v>43490</v>
      </c>
      <c r="D393" t="s">
        <v>127</v>
      </c>
      <c r="E393">
        <v>2</v>
      </c>
      <c r="F393" s="12">
        <v>132</v>
      </c>
      <c r="G393">
        <v>694</v>
      </c>
      <c r="H393" s="13">
        <v>91579.41</v>
      </c>
      <c r="I393" s="1">
        <v>44285</v>
      </c>
      <c r="J393">
        <v>3</v>
      </c>
      <c r="K393">
        <v>290</v>
      </c>
      <c r="L393">
        <v>58</v>
      </c>
      <c r="M393" t="s">
        <v>159</v>
      </c>
      <c r="N393" t="s">
        <v>154</v>
      </c>
    </row>
    <row r="394" spans="1:14" x14ac:dyDescent="0.25">
      <c r="A394" t="s">
        <v>43</v>
      </c>
      <c r="B394" t="s">
        <v>37</v>
      </c>
      <c r="C394" s="1">
        <v>43490</v>
      </c>
      <c r="D394" t="s">
        <v>127</v>
      </c>
      <c r="E394">
        <v>2</v>
      </c>
      <c r="F394" s="12">
        <v>132</v>
      </c>
      <c r="G394">
        <v>375</v>
      </c>
      <c r="H394" s="13">
        <v>49471.41</v>
      </c>
      <c r="I394" s="1">
        <v>44189</v>
      </c>
      <c r="J394">
        <v>12</v>
      </c>
      <c r="K394">
        <v>408</v>
      </c>
      <c r="L394">
        <v>58</v>
      </c>
      <c r="M394" t="s">
        <v>159</v>
      </c>
      <c r="N394" t="s">
        <v>154</v>
      </c>
    </row>
    <row r="395" spans="1:14" x14ac:dyDescent="0.25">
      <c r="A395" t="s">
        <v>33</v>
      </c>
      <c r="B395" t="s">
        <v>29</v>
      </c>
      <c r="C395" s="1">
        <v>42795</v>
      </c>
      <c r="D395" t="s">
        <v>127</v>
      </c>
      <c r="E395">
        <v>2</v>
      </c>
      <c r="F395" s="12">
        <v>132</v>
      </c>
      <c r="G395">
        <v>752</v>
      </c>
      <c r="H395" s="13">
        <v>99235.41</v>
      </c>
      <c r="I395" s="1">
        <v>44001</v>
      </c>
      <c r="J395">
        <v>6</v>
      </c>
      <c r="K395">
        <v>248</v>
      </c>
      <c r="L395">
        <v>22</v>
      </c>
      <c r="M395" t="s">
        <v>160</v>
      </c>
      <c r="N395" t="s">
        <v>153</v>
      </c>
    </row>
    <row r="396" spans="1:14" x14ac:dyDescent="0.25">
      <c r="A396" t="s">
        <v>60</v>
      </c>
      <c r="B396" t="s">
        <v>55</v>
      </c>
      <c r="C396" s="1">
        <v>43555</v>
      </c>
      <c r="D396" t="s">
        <v>127</v>
      </c>
      <c r="E396">
        <v>2</v>
      </c>
      <c r="F396" s="12">
        <v>132</v>
      </c>
      <c r="G396">
        <v>201</v>
      </c>
      <c r="H396" s="13">
        <v>26503.41</v>
      </c>
      <c r="I396" s="1">
        <v>44034</v>
      </c>
      <c r="J396">
        <v>7</v>
      </c>
      <c r="K396">
        <v>252</v>
      </c>
      <c r="L396">
        <v>57</v>
      </c>
      <c r="M396" t="s">
        <v>159</v>
      </c>
      <c r="N396" t="s">
        <v>154</v>
      </c>
    </row>
    <row r="397" spans="1:14" x14ac:dyDescent="0.25">
      <c r="A397" t="s">
        <v>33</v>
      </c>
      <c r="B397" t="s">
        <v>29</v>
      </c>
      <c r="C397" s="1">
        <v>42795</v>
      </c>
      <c r="D397" t="s">
        <v>127</v>
      </c>
      <c r="E397">
        <v>2</v>
      </c>
      <c r="F397" s="12">
        <v>132</v>
      </c>
      <c r="G397">
        <v>654</v>
      </c>
      <c r="H397" s="13">
        <v>86299.41</v>
      </c>
      <c r="I397" s="1">
        <v>42928</v>
      </c>
      <c r="J397">
        <v>7</v>
      </c>
      <c r="K397">
        <v>354</v>
      </c>
      <c r="L397">
        <v>63</v>
      </c>
      <c r="M397" t="s">
        <v>157</v>
      </c>
      <c r="N397" t="s">
        <v>154</v>
      </c>
    </row>
    <row r="398" spans="1:14" x14ac:dyDescent="0.25">
      <c r="A398" t="s">
        <v>118</v>
      </c>
      <c r="B398" t="s">
        <v>112</v>
      </c>
      <c r="C398" s="1">
        <v>43001</v>
      </c>
      <c r="D398" t="s">
        <v>127</v>
      </c>
      <c r="E398">
        <v>2</v>
      </c>
      <c r="F398" s="12">
        <v>132</v>
      </c>
      <c r="G398">
        <v>407</v>
      </c>
      <c r="H398" s="13">
        <v>53695.41</v>
      </c>
      <c r="I398" s="1">
        <v>43687</v>
      </c>
      <c r="J398">
        <v>8</v>
      </c>
      <c r="K398">
        <v>152</v>
      </c>
      <c r="L398">
        <v>60</v>
      </c>
      <c r="M398" t="s">
        <v>159</v>
      </c>
      <c r="N398" t="s">
        <v>154</v>
      </c>
    </row>
    <row r="399" spans="1:14" x14ac:dyDescent="0.25">
      <c r="A399" t="s">
        <v>114</v>
      </c>
      <c r="B399" t="s">
        <v>108</v>
      </c>
      <c r="C399" s="1">
        <v>42808</v>
      </c>
      <c r="D399" t="s">
        <v>127</v>
      </c>
      <c r="E399">
        <v>2</v>
      </c>
      <c r="F399" s="12">
        <v>132</v>
      </c>
      <c r="G399">
        <v>773</v>
      </c>
      <c r="H399" s="13">
        <v>102007.41</v>
      </c>
      <c r="I399" s="1">
        <v>43060</v>
      </c>
      <c r="J399">
        <v>11</v>
      </c>
      <c r="K399">
        <v>513</v>
      </c>
      <c r="L399">
        <v>60</v>
      </c>
      <c r="M399" t="s">
        <v>159</v>
      </c>
      <c r="N399" t="s">
        <v>154</v>
      </c>
    </row>
    <row r="400" spans="1:14" x14ac:dyDescent="0.25">
      <c r="A400" t="s">
        <v>73</v>
      </c>
      <c r="B400" t="s">
        <v>68</v>
      </c>
      <c r="C400" s="1">
        <v>43097</v>
      </c>
      <c r="D400" t="s">
        <v>127</v>
      </c>
      <c r="E400">
        <v>2</v>
      </c>
      <c r="F400" s="12">
        <v>132</v>
      </c>
      <c r="G400">
        <v>401</v>
      </c>
      <c r="H400" s="13">
        <v>52903.41</v>
      </c>
      <c r="I400" s="1">
        <v>43770</v>
      </c>
      <c r="J400">
        <v>11</v>
      </c>
      <c r="K400">
        <v>334</v>
      </c>
      <c r="L400">
        <v>28</v>
      </c>
      <c r="M400" t="s">
        <v>158</v>
      </c>
      <c r="N400" t="s">
        <v>153</v>
      </c>
    </row>
    <row r="401" spans="1:14" x14ac:dyDescent="0.25">
      <c r="A401" t="s">
        <v>73</v>
      </c>
      <c r="B401" t="s">
        <v>68</v>
      </c>
      <c r="C401" s="1">
        <v>43097</v>
      </c>
      <c r="D401" t="s">
        <v>127</v>
      </c>
      <c r="E401">
        <v>2</v>
      </c>
      <c r="F401" s="12">
        <v>132</v>
      </c>
      <c r="G401">
        <v>253</v>
      </c>
      <c r="H401" s="13">
        <v>33367.410000000003</v>
      </c>
      <c r="I401" s="1">
        <v>43613</v>
      </c>
      <c r="J401">
        <v>5</v>
      </c>
      <c r="K401">
        <v>529</v>
      </c>
      <c r="L401">
        <v>53</v>
      </c>
      <c r="M401" t="s">
        <v>156</v>
      </c>
      <c r="N401" t="s">
        <v>154</v>
      </c>
    </row>
    <row r="402" spans="1:14" x14ac:dyDescent="0.25">
      <c r="A402" t="s">
        <v>118</v>
      </c>
      <c r="B402" t="s">
        <v>112</v>
      </c>
      <c r="C402" s="1">
        <v>43001</v>
      </c>
      <c r="D402" t="s">
        <v>127</v>
      </c>
      <c r="E402">
        <v>2</v>
      </c>
      <c r="F402" s="12">
        <v>132</v>
      </c>
      <c r="G402">
        <v>356</v>
      </c>
      <c r="H402" s="13">
        <v>46963.41</v>
      </c>
      <c r="I402" s="1">
        <v>44427</v>
      </c>
      <c r="J402">
        <v>8</v>
      </c>
      <c r="K402">
        <v>407</v>
      </c>
      <c r="L402">
        <v>57</v>
      </c>
      <c r="M402" t="s">
        <v>159</v>
      </c>
      <c r="N402" t="s">
        <v>154</v>
      </c>
    </row>
    <row r="403" spans="1:14" x14ac:dyDescent="0.25">
      <c r="A403" t="s">
        <v>32</v>
      </c>
      <c r="B403" t="s">
        <v>28</v>
      </c>
      <c r="C403" s="1">
        <v>43161</v>
      </c>
      <c r="D403" t="s">
        <v>127</v>
      </c>
      <c r="E403">
        <v>2</v>
      </c>
      <c r="F403" s="12">
        <v>132</v>
      </c>
      <c r="G403">
        <v>319</v>
      </c>
      <c r="H403" s="13">
        <v>42079.41</v>
      </c>
      <c r="I403" s="1">
        <v>44161</v>
      </c>
      <c r="J403">
        <v>11</v>
      </c>
      <c r="K403">
        <v>137</v>
      </c>
      <c r="L403">
        <v>40</v>
      </c>
      <c r="M403" t="s">
        <v>161</v>
      </c>
      <c r="N403" t="s">
        <v>153</v>
      </c>
    </row>
    <row r="404" spans="1:14" x14ac:dyDescent="0.25">
      <c r="A404" t="s">
        <v>83</v>
      </c>
      <c r="B404" t="s">
        <v>84</v>
      </c>
      <c r="C404" s="1">
        <v>43427</v>
      </c>
      <c r="D404" t="s">
        <v>127</v>
      </c>
      <c r="E404">
        <v>2</v>
      </c>
      <c r="F404" s="12">
        <v>132</v>
      </c>
      <c r="G404">
        <v>1784</v>
      </c>
      <c r="H404" s="13">
        <v>235459.41</v>
      </c>
      <c r="I404" s="1">
        <v>43900</v>
      </c>
      <c r="J404">
        <v>3</v>
      </c>
      <c r="K404">
        <v>474</v>
      </c>
      <c r="L404">
        <v>56</v>
      </c>
      <c r="M404" t="s">
        <v>159</v>
      </c>
      <c r="N404" t="s">
        <v>153</v>
      </c>
    </row>
    <row r="405" spans="1:14" x14ac:dyDescent="0.25">
      <c r="A405" t="s">
        <v>31</v>
      </c>
      <c r="B405" t="s">
        <v>27</v>
      </c>
      <c r="C405" s="1">
        <v>42433</v>
      </c>
      <c r="D405" t="s">
        <v>127</v>
      </c>
      <c r="E405">
        <v>2</v>
      </c>
      <c r="F405" s="12">
        <v>132</v>
      </c>
      <c r="G405">
        <v>674</v>
      </c>
      <c r="H405" s="13">
        <v>88939.41</v>
      </c>
      <c r="I405" s="1">
        <v>43285</v>
      </c>
      <c r="J405">
        <v>7</v>
      </c>
      <c r="K405">
        <v>221</v>
      </c>
      <c r="L405">
        <v>35</v>
      </c>
      <c r="M405" t="s">
        <v>164</v>
      </c>
      <c r="N405" t="s">
        <v>153</v>
      </c>
    </row>
    <row r="406" spans="1:14" x14ac:dyDescent="0.25">
      <c r="A406" t="s">
        <v>53</v>
      </c>
      <c r="B406" t="s">
        <v>54</v>
      </c>
      <c r="C406" s="1">
        <v>42816</v>
      </c>
      <c r="D406" t="s">
        <v>127</v>
      </c>
      <c r="E406">
        <v>2</v>
      </c>
      <c r="F406" s="12">
        <v>132</v>
      </c>
      <c r="G406">
        <v>484</v>
      </c>
      <c r="H406" s="13">
        <v>63859.41</v>
      </c>
      <c r="I406" s="1">
        <v>42901</v>
      </c>
      <c r="J406">
        <v>6</v>
      </c>
      <c r="K406">
        <v>263</v>
      </c>
      <c r="L406">
        <v>45</v>
      </c>
      <c r="M406" t="s">
        <v>162</v>
      </c>
      <c r="N406" t="s">
        <v>154</v>
      </c>
    </row>
    <row r="407" spans="1:14" x14ac:dyDescent="0.25">
      <c r="A407" t="s">
        <v>105</v>
      </c>
      <c r="B407" t="s">
        <v>106</v>
      </c>
      <c r="C407" s="1">
        <v>43451</v>
      </c>
      <c r="D407" t="s">
        <v>127</v>
      </c>
      <c r="E407">
        <v>2</v>
      </c>
      <c r="F407" s="12">
        <v>132</v>
      </c>
      <c r="G407">
        <v>254</v>
      </c>
      <c r="H407" s="13">
        <v>33499.410000000003</v>
      </c>
      <c r="I407" s="1">
        <v>43985</v>
      </c>
      <c r="J407">
        <v>6</v>
      </c>
      <c r="K407">
        <v>319</v>
      </c>
      <c r="L407">
        <v>52</v>
      </c>
      <c r="M407" t="s">
        <v>156</v>
      </c>
      <c r="N407" t="s">
        <v>153</v>
      </c>
    </row>
    <row r="408" spans="1:14" x14ac:dyDescent="0.25">
      <c r="A408" t="s">
        <v>81</v>
      </c>
      <c r="B408" t="s">
        <v>78</v>
      </c>
      <c r="C408" s="1">
        <v>43932</v>
      </c>
      <c r="D408" t="s">
        <v>127</v>
      </c>
      <c r="E408">
        <v>2</v>
      </c>
      <c r="F408" s="12">
        <v>132</v>
      </c>
      <c r="G408">
        <v>1676</v>
      </c>
      <c r="H408" s="13">
        <v>221203.41</v>
      </c>
      <c r="I408" s="1">
        <v>44304</v>
      </c>
      <c r="J408">
        <v>4</v>
      </c>
      <c r="K408">
        <v>9</v>
      </c>
      <c r="L408">
        <v>48</v>
      </c>
      <c r="M408" t="s">
        <v>163</v>
      </c>
      <c r="N408" t="s">
        <v>154</v>
      </c>
    </row>
    <row r="409" spans="1:14" x14ac:dyDescent="0.25">
      <c r="A409" t="s">
        <v>105</v>
      </c>
      <c r="B409" t="s">
        <v>106</v>
      </c>
      <c r="C409" s="1">
        <v>43451</v>
      </c>
      <c r="D409" t="s">
        <v>127</v>
      </c>
      <c r="E409">
        <v>2</v>
      </c>
      <c r="F409" s="12">
        <v>132</v>
      </c>
      <c r="G409">
        <v>725</v>
      </c>
      <c r="H409" s="13">
        <v>95671.41</v>
      </c>
      <c r="I409" s="1">
        <v>43640</v>
      </c>
      <c r="J409">
        <v>6</v>
      </c>
      <c r="K409">
        <v>582</v>
      </c>
      <c r="L409">
        <v>59</v>
      </c>
      <c r="M409" t="s">
        <v>159</v>
      </c>
      <c r="N409" t="s">
        <v>154</v>
      </c>
    </row>
    <row r="410" spans="1:14" x14ac:dyDescent="0.25">
      <c r="A410" t="s">
        <v>74</v>
      </c>
      <c r="B410" t="s">
        <v>69</v>
      </c>
      <c r="C410" s="1">
        <v>42228</v>
      </c>
      <c r="D410" t="s">
        <v>127</v>
      </c>
      <c r="E410">
        <v>2</v>
      </c>
      <c r="F410" s="12">
        <v>132</v>
      </c>
      <c r="G410">
        <v>732</v>
      </c>
      <c r="H410" s="13">
        <v>96595.41</v>
      </c>
      <c r="I410" s="1">
        <v>43148</v>
      </c>
      <c r="J410">
        <v>2</v>
      </c>
      <c r="K410">
        <v>430</v>
      </c>
      <c r="L410">
        <v>39</v>
      </c>
      <c r="M410" t="s">
        <v>161</v>
      </c>
      <c r="N410" t="s">
        <v>153</v>
      </c>
    </row>
    <row r="411" spans="1:14" x14ac:dyDescent="0.25">
      <c r="A411" t="s">
        <v>80</v>
      </c>
      <c r="B411" t="s">
        <v>77</v>
      </c>
      <c r="C411" s="1">
        <v>43282</v>
      </c>
      <c r="D411" t="s">
        <v>127</v>
      </c>
      <c r="E411">
        <v>2</v>
      </c>
      <c r="F411" s="12">
        <v>132</v>
      </c>
      <c r="G411">
        <v>629</v>
      </c>
      <c r="H411" s="13">
        <v>82999.41</v>
      </c>
      <c r="I411" s="1">
        <v>43493</v>
      </c>
      <c r="J411">
        <v>1</v>
      </c>
      <c r="K411">
        <v>308</v>
      </c>
      <c r="L411">
        <v>29</v>
      </c>
      <c r="M411" t="s">
        <v>158</v>
      </c>
      <c r="N411" t="s">
        <v>153</v>
      </c>
    </row>
    <row r="412" spans="1:14" x14ac:dyDescent="0.25">
      <c r="A412" t="s">
        <v>64</v>
      </c>
      <c r="B412" t="s">
        <v>59</v>
      </c>
      <c r="C412" s="1">
        <v>43153</v>
      </c>
      <c r="D412" t="s">
        <v>127</v>
      </c>
      <c r="E412">
        <v>2</v>
      </c>
      <c r="F412" s="12">
        <v>132</v>
      </c>
      <c r="G412">
        <v>1716</v>
      </c>
      <c r="H412" s="13">
        <v>226483.41</v>
      </c>
      <c r="I412" s="1">
        <v>44290</v>
      </c>
      <c r="J412">
        <v>4</v>
      </c>
      <c r="K412">
        <v>262</v>
      </c>
      <c r="L412">
        <v>57</v>
      </c>
      <c r="M412" t="s">
        <v>159</v>
      </c>
      <c r="N412" t="s">
        <v>153</v>
      </c>
    </row>
    <row r="413" spans="1:14" x14ac:dyDescent="0.25">
      <c r="A413" t="s">
        <v>72</v>
      </c>
      <c r="B413" t="s">
        <v>67</v>
      </c>
      <c r="C413" s="1">
        <v>43827</v>
      </c>
      <c r="D413" t="s">
        <v>127</v>
      </c>
      <c r="E413">
        <v>2</v>
      </c>
      <c r="F413" s="12">
        <v>132</v>
      </c>
      <c r="G413">
        <v>1894</v>
      </c>
      <c r="H413" s="13">
        <v>249979.41</v>
      </c>
      <c r="I413" s="1">
        <v>43890</v>
      </c>
      <c r="J413">
        <v>2</v>
      </c>
      <c r="K413">
        <v>249</v>
      </c>
      <c r="L413">
        <v>46</v>
      </c>
      <c r="M413" t="s">
        <v>163</v>
      </c>
      <c r="N413" t="s">
        <v>154</v>
      </c>
    </row>
    <row r="414" spans="1:14" x14ac:dyDescent="0.25">
      <c r="A414" t="s">
        <v>40</v>
      </c>
      <c r="B414" t="s">
        <v>0</v>
      </c>
      <c r="C414" s="1">
        <v>43287</v>
      </c>
      <c r="D414" t="s">
        <v>127</v>
      </c>
      <c r="E414">
        <v>2</v>
      </c>
      <c r="F414" s="12">
        <v>132</v>
      </c>
      <c r="G414">
        <v>660</v>
      </c>
      <c r="H414" s="13">
        <v>87091.41</v>
      </c>
      <c r="I414" s="1">
        <v>43928</v>
      </c>
      <c r="J414">
        <v>4</v>
      </c>
      <c r="K414">
        <v>138</v>
      </c>
      <c r="L414">
        <v>28</v>
      </c>
      <c r="M414" t="s">
        <v>158</v>
      </c>
      <c r="N414" t="s">
        <v>153</v>
      </c>
    </row>
    <row r="415" spans="1:14" x14ac:dyDescent="0.25">
      <c r="A415" t="s">
        <v>46</v>
      </c>
      <c r="B415" t="s">
        <v>39</v>
      </c>
      <c r="C415" s="1">
        <v>43490</v>
      </c>
      <c r="D415" t="s">
        <v>127</v>
      </c>
      <c r="E415">
        <v>2</v>
      </c>
      <c r="F415" s="12">
        <v>132</v>
      </c>
      <c r="G415">
        <v>772</v>
      </c>
      <c r="H415" s="13">
        <v>101875.41</v>
      </c>
      <c r="I415" s="1">
        <v>44032</v>
      </c>
      <c r="J415">
        <v>7</v>
      </c>
      <c r="K415">
        <v>203</v>
      </c>
      <c r="L415">
        <v>51</v>
      </c>
      <c r="M415" t="s">
        <v>156</v>
      </c>
      <c r="N415" t="s">
        <v>154</v>
      </c>
    </row>
    <row r="416" spans="1:14" x14ac:dyDescent="0.25">
      <c r="A416" t="s">
        <v>114</v>
      </c>
      <c r="B416" t="s">
        <v>108</v>
      </c>
      <c r="C416" s="1">
        <v>42808</v>
      </c>
      <c r="D416" t="s">
        <v>127</v>
      </c>
      <c r="E416">
        <v>2</v>
      </c>
      <c r="F416" s="12">
        <v>132</v>
      </c>
      <c r="G416">
        <v>738</v>
      </c>
      <c r="H416" s="13">
        <v>97387.41</v>
      </c>
      <c r="I416" s="1">
        <v>43689</v>
      </c>
      <c r="J416">
        <v>8</v>
      </c>
      <c r="K416">
        <v>279</v>
      </c>
      <c r="L416">
        <v>65</v>
      </c>
      <c r="M416" t="s">
        <v>157</v>
      </c>
      <c r="N416" t="s">
        <v>153</v>
      </c>
    </row>
    <row r="417" spans="1:14" x14ac:dyDescent="0.25">
      <c r="A417" t="s">
        <v>62</v>
      </c>
      <c r="B417" t="s">
        <v>57</v>
      </c>
      <c r="C417" s="1">
        <v>43724</v>
      </c>
      <c r="D417" t="s">
        <v>127</v>
      </c>
      <c r="E417">
        <v>2</v>
      </c>
      <c r="F417" s="12">
        <v>132</v>
      </c>
      <c r="G417">
        <v>923</v>
      </c>
      <c r="H417" s="13">
        <v>121807.41</v>
      </c>
      <c r="I417" s="1">
        <v>43931</v>
      </c>
      <c r="J417">
        <v>4</v>
      </c>
      <c r="K417">
        <v>600</v>
      </c>
      <c r="L417">
        <v>57</v>
      </c>
      <c r="M417" t="s">
        <v>159</v>
      </c>
      <c r="N417" t="s">
        <v>154</v>
      </c>
    </row>
    <row r="418" spans="1:14" x14ac:dyDescent="0.25">
      <c r="A418" t="s">
        <v>91</v>
      </c>
      <c r="B418" t="s">
        <v>87</v>
      </c>
      <c r="C418" s="1">
        <v>43557</v>
      </c>
      <c r="D418" t="s">
        <v>127</v>
      </c>
      <c r="E418">
        <v>2</v>
      </c>
      <c r="F418" s="12">
        <v>132</v>
      </c>
      <c r="G418">
        <v>1059</v>
      </c>
      <c r="H418" s="13">
        <v>139759.41</v>
      </c>
      <c r="I418" s="1">
        <v>44261</v>
      </c>
      <c r="J418">
        <v>3</v>
      </c>
      <c r="K418">
        <v>59</v>
      </c>
      <c r="L418">
        <v>43</v>
      </c>
      <c r="M418" t="s">
        <v>162</v>
      </c>
      <c r="N418" t="s">
        <v>154</v>
      </c>
    </row>
    <row r="419" spans="1:14" x14ac:dyDescent="0.25">
      <c r="A419" t="s">
        <v>118</v>
      </c>
      <c r="B419" t="s">
        <v>112</v>
      </c>
      <c r="C419" s="1">
        <v>43001</v>
      </c>
      <c r="D419" t="s">
        <v>127</v>
      </c>
      <c r="E419">
        <v>2</v>
      </c>
      <c r="F419" s="12">
        <v>132</v>
      </c>
      <c r="G419">
        <v>749</v>
      </c>
      <c r="H419" s="13">
        <v>98839.41</v>
      </c>
      <c r="I419" s="1">
        <v>44212</v>
      </c>
      <c r="J419">
        <v>1</v>
      </c>
      <c r="K419">
        <v>31</v>
      </c>
      <c r="L419">
        <v>49</v>
      </c>
      <c r="M419" t="s">
        <v>163</v>
      </c>
      <c r="N419" t="s">
        <v>154</v>
      </c>
    </row>
    <row r="420" spans="1:14" x14ac:dyDescent="0.25">
      <c r="A420" t="s">
        <v>33</v>
      </c>
      <c r="B420" t="s">
        <v>29</v>
      </c>
      <c r="C420" s="1">
        <v>42795</v>
      </c>
      <c r="D420" t="s">
        <v>127</v>
      </c>
      <c r="E420">
        <v>2</v>
      </c>
      <c r="F420" s="12">
        <v>132</v>
      </c>
      <c r="G420">
        <v>1054</v>
      </c>
      <c r="H420" s="13">
        <v>139099.41</v>
      </c>
      <c r="I420" s="1">
        <v>44310</v>
      </c>
      <c r="J420">
        <v>4</v>
      </c>
      <c r="K420">
        <v>541</v>
      </c>
      <c r="L420">
        <v>34</v>
      </c>
      <c r="M420" t="s">
        <v>164</v>
      </c>
      <c r="N420" t="s">
        <v>153</v>
      </c>
    </row>
    <row r="421" spans="1:14" x14ac:dyDescent="0.25">
      <c r="A421" t="s">
        <v>81</v>
      </c>
      <c r="B421" t="s">
        <v>78</v>
      </c>
      <c r="C421" s="1">
        <v>43932</v>
      </c>
      <c r="D421" t="s">
        <v>127</v>
      </c>
      <c r="E421">
        <v>2</v>
      </c>
      <c r="F421" s="12">
        <v>132</v>
      </c>
      <c r="G421">
        <v>848</v>
      </c>
      <c r="H421" s="13">
        <v>111907.41</v>
      </c>
      <c r="I421" s="1">
        <v>44311</v>
      </c>
      <c r="J421">
        <v>4</v>
      </c>
      <c r="K421">
        <v>135</v>
      </c>
      <c r="L421">
        <v>50</v>
      </c>
      <c r="M421" t="s">
        <v>163</v>
      </c>
      <c r="N421" t="s">
        <v>154</v>
      </c>
    </row>
    <row r="422" spans="1:14" x14ac:dyDescent="0.25">
      <c r="A422" t="s">
        <v>81</v>
      </c>
      <c r="B422" t="s">
        <v>78</v>
      </c>
      <c r="C422" s="1">
        <v>43932</v>
      </c>
      <c r="D422" t="s">
        <v>127</v>
      </c>
      <c r="E422">
        <v>2</v>
      </c>
      <c r="F422" s="12">
        <v>132</v>
      </c>
      <c r="G422">
        <v>513</v>
      </c>
      <c r="H422" s="13">
        <v>67687.41</v>
      </c>
      <c r="I422" s="1">
        <v>44185</v>
      </c>
      <c r="J422">
        <v>12</v>
      </c>
      <c r="K422">
        <v>591</v>
      </c>
      <c r="L422">
        <v>60</v>
      </c>
      <c r="M422" t="s">
        <v>159</v>
      </c>
      <c r="N422" t="s">
        <v>153</v>
      </c>
    </row>
    <row r="423" spans="1:14" x14ac:dyDescent="0.25">
      <c r="A423" t="s">
        <v>74</v>
      </c>
      <c r="B423" t="s">
        <v>69</v>
      </c>
      <c r="C423" s="1">
        <v>42228</v>
      </c>
      <c r="D423" t="s">
        <v>127</v>
      </c>
      <c r="E423">
        <v>2</v>
      </c>
      <c r="F423" s="12">
        <v>132</v>
      </c>
      <c r="G423">
        <v>507</v>
      </c>
      <c r="H423" s="13">
        <v>66895.41</v>
      </c>
      <c r="I423" s="1">
        <v>42519</v>
      </c>
      <c r="J423">
        <v>5</v>
      </c>
      <c r="K423">
        <v>186</v>
      </c>
      <c r="L423">
        <v>65</v>
      </c>
      <c r="M423" t="s">
        <v>157</v>
      </c>
      <c r="N423" t="s">
        <v>153</v>
      </c>
    </row>
    <row r="424" spans="1:14" x14ac:dyDescent="0.25">
      <c r="A424" t="s">
        <v>80</v>
      </c>
      <c r="B424" t="s">
        <v>77</v>
      </c>
      <c r="C424" s="1">
        <v>43282</v>
      </c>
      <c r="D424" t="s">
        <v>127</v>
      </c>
      <c r="E424">
        <v>2</v>
      </c>
      <c r="F424" s="12">
        <v>132</v>
      </c>
      <c r="G424">
        <v>698</v>
      </c>
      <c r="H424" s="13">
        <v>92107.41</v>
      </c>
      <c r="I424" s="1">
        <v>43637</v>
      </c>
      <c r="J424">
        <v>6</v>
      </c>
      <c r="K424">
        <v>461</v>
      </c>
      <c r="L424">
        <v>55</v>
      </c>
      <c r="M424" t="s">
        <v>156</v>
      </c>
      <c r="N424" t="s">
        <v>154</v>
      </c>
    </row>
    <row r="425" spans="1:14" x14ac:dyDescent="0.25">
      <c r="A425" t="s">
        <v>42</v>
      </c>
      <c r="B425" t="s">
        <v>1</v>
      </c>
      <c r="C425" s="1">
        <v>43712</v>
      </c>
      <c r="D425" t="s">
        <v>127</v>
      </c>
      <c r="E425">
        <v>2</v>
      </c>
      <c r="F425" s="12">
        <v>132</v>
      </c>
      <c r="G425">
        <v>122</v>
      </c>
      <c r="H425" s="13">
        <v>16075.41</v>
      </c>
      <c r="I425" s="1">
        <v>43997</v>
      </c>
      <c r="J425">
        <v>6</v>
      </c>
      <c r="K425">
        <v>327</v>
      </c>
      <c r="L425">
        <v>60</v>
      </c>
      <c r="M425" t="s">
        <v>159</v>
      </c>
      <c r="N425" t="s">
        <v>154</v>
      </c>
    </row>
    <row r="426" spans="1:14" x14ac:dyDescent="0.25">
      <c r="A426" t="s">
        <v>89</v>
      </c>
      <c r="B426" t="s">
        <v>85</v>
      </c>
      <c r="C426" s="1">
        <v>43093</v>
      </c>
      <c r="D426" t="s">
        <v>127</v>
      </c>
      <c r="E426">
        <v>2</v>
      </c>
      <c r="F426" s="12">
        <v>132</v>
      </c>
      <c r="G426">
        <v>1037</v>
      </c>
      <c r="H426" s="13">
        <v>136855.41</v>
      </c>
      <c r="I426" s="1">
        <v>43875</v>
      </c>
      <c r="J426">
        <v>2</v>
      </c>
      <c r="K426">
        <v>424</v>
      </c>
      <c r="L426">
        <v>27</v>
      </c>
      <c r="M426" t="s">
        <v>158</v>
      </c>
      <c r="N426" t="s">
        <v>153</v>
      </c>
    </row>
    <row r="427" spans="1:14" x14ac:dyDescent="0.25">
      <c r="A427" t="s">
        <v>41</v>
      </c>
      <c r="B427" t="s">
        <v>36</v>
      </c>
      <c r="C427" s="1">
        <v>42880</v>
      </c>
      <c r="D427" t="s">
        <v>127</v>
      </c>
      <c r="E427">
        <v>2</v>
      </c>
      <c r="F427" s="12">
        <v>132</v>
      </c>
      <c r="G427">
        <v>665</v>
      </c>
      <c r="H427" s="13">
        <v>87751.41</v>
      </c>
      <c r="I427" s="1">
        <v>43240</v>
      </c>
      <c r="J427">
        <v>5</v>
      </c>
      <c r="K427">
        <v>446</v>
      </c>
      <c r="L427">
        <v>32</v>
      </c>
      <c r="M427" t="s">
        <v>164</v>
      </c>
      <c r="N427" t="s">
        <v>153</v>
      </c>
    </row>
    <row r="428" spans="1:14" x14ac:dyDescent="0.25">
      <c r="A428" t="s">
        <v>46</v>
      </c>
      <c r="B428" t="s">
        <v>39</v>
      </c>
      <c r="C428" s="1">
        <v>43490</v>
      </c>
      <c r="D428" t="s">
        <v>127</v>
      </c>
      <c r="E428">
        <v>2</v>
      </c>
      <c r="F428" s="12">
        <v>132</v>
      </c>
      <c r="G428">
        <v>199</v>
      </c>
      <c r="H428" s="13">
        <v>26239.41</v>
      </c>
      <c r="I428" s="1">
        <v>43816</v>
      </c>
      <c r="J428">
        <v>12</v>
      </c>
      <c r="K428">
        <v>400</v>
      </c>
      <c r="L428">
        <v>60</v>
      </c>
      <c r="M428" t="s">
        <v>159</v>
      </c>
      <c r="N428" t="s">
        <v>153</v>
      </c>
    </row>
    <row r="429" spans="1:14" x14ac:dyDescent="0.25">
      <c r="A429" t="s">
        <v>72</v>
      </c>
      <c r="B429" t="s">
        <v>67</v>
      </c>
      <c r="C429" s="1">
        <v>43827</v>
      </c>
      <c r="D429" t="s">
        <v>127</v>
      </c>
      <c r="E429">
        <v>2</v>
      </c>
      <c r="F429" s="12">
        <v>132</v>
      </c>
      <c r="G429">
        <v>322</v>
      </c>
      <c r="H429" s="13">
        <v>42475.41</v>
      </c>
      <c r="I429" s="1">
        <v>44321</v>
      </c>
      <c r="J429">
        <v>5</v>
      </c>
      <c r="K429">
        <v>140</v>
      </c>
      <c r="L429">
        <v>49</v>
      </c>
      <c r="M429" t="s">
        <v>163</v>
      </c>
      <c r="N429" t="s">
        <v>154</v>
      </c>
    </row>
    <row r="430" spans="1:14" x14ac:dyDescent="0.25">
      <c r="A430" t="s">
        <v>46</v>
      </c>
      <c r="B430" t="s">
        <v>39</v>
      </c>
      <c r="C430" s="1">
        <v>43490</v>
      </c>
      <c r="D430" t="s">
        <v>127</v>
      </c>
      <c r="E430">
        <v>2</v>
      </c>
      <c r="F430" s="12">
        <v>132</v>
      </c>
      <c r="G430">
        <v>416</v>
      </c>
      <c r="H430" s="13">
        <v>54883.41</v>
      </c>
      <c r="I430" s="1">
        <v>43823</v>
      </c>
      <c r="J430">
        <v>12</v>
      </c>
      <c r="K430">
        <v>456</v>
      </c>
      <c r="L430">
        <v>59</v>
      </c>
      <c r="M430" t="s">
        <v>159</v>
      </c>
      <c r="N430" t="s">
        <v>154</v>
      </c>
    </row>
    <row r="431" spans="1:14" x14ac:dyDescent="0.25">
      <c r="A431" t="s">
        <v>53</v>
      </c>
      <c r="B431" t="s">
        <v>54</v>
      </c>
      <c r="C431" s="1">
        <v>42816</v>
      </c>
      <c r="D431" t="s">
        <v>127</v>
      </c>
      <c r="E431">
        <v>2</v>
      </c>
      <c r="F431" s="12">
        <v>132</v>
      </c>
      <c r="G431">
        <v>647</v>
      </c>
      <c r="H431" s="13">
        <v>85375.41</v>
      </c>
      <c r="I431" s="1">
        <v>43378</v>
      </c>
      <c r="J431">
        <v>10</v>
      </c>
      <c r="K431">
        <v>469</v>
      </c>
      <c r="L431">
        <v>57</v>
      </c>
      <c r="M431" t="s">
        <v>159</v>
      </c>
      <c r="N431" t="s">
        <v>153</v>
      </c>
    </row>
    <row r="432" spans="1:14" x14ac:dyDescent="0.25">
      <c r="A432" t="s">
        <v>47</v>
      </c>
      <c r="B432" t="s">
        <v>48</v>
      </c>
      <c r="C432" s="1">
        <v>42542</v>
      </c>
      <c r="D432" t="s">
        <v>127</v>
      </c>
      <c r="E432">
        <v>2</v>
      </c>
      <c r="F432" s="12">
        <v>132</v>
      </c>
      <c r="G432">
        <v>367</v>
      </c>
      <c r="H432" s="13">
        <v>48415.41</v>
      </c>
      <c r="I432" s="1">
        <v>42568</v>
      </c>
      <c r="J432">
        <v>7</v>
      </c>
      <c r="K432">
        <v>163</v>
      </c>
      <c r="L432">
        <v>58</v>
      </c>
      <c r="M432" t="s">
        <v>159</v>
      </c>
      <c r="N432" t="s">
        <v>154</v>
      </c>
    </row>
    <row r="433" spans="1:14" x14ac:dyDescent="0.25">
      <c r="A433" t="s">
        <v>31</v>
      </c>
      <c r="B433" t="s">
        <v>27</v>
      </c>
      <c r="C433" s="1">
        <v>42433</v>
      </c>
      <c r="D433" t="s">
        <v>127</v>
      </c>
      <c r="E433">
        <v>2</v>
      </c>
      <c r="F433" s="12">
        <v>132</v>
      </c>
      <c r="G433">
        <v>583</v>
      </c>
      <c r="H433" s="13">
        <v>76927.41</v>
      </c>
      <c r="I433" s="1">
        <v>43808</v>
      </c>
      <c r="J433">
        <v>12</v>
      </c>
      <c r="K433">
        <v>276</v>
      </c>
      <c r="L433">
        <v>55</v>
      </c>
      <c r="M433" t="s">
        <v>156</v>
      </c>
      <c r="N433" t="s">
        <v>154</v>
      </c>
    </row>
    <row r="434" spans="1:14" x14ac:dyDescent="0.25">
      <c r="A434" t="s">
        <v>61</v>
      </c>
      <c r="B434" t="s">
        <v>56</v>
      </c>
      <c r="C434" s="1">
        <v>42607</v>
      </c>
      <c r="D434" t="s">
        <v>127</v>
      </c>
      <c r="E434">
        <v>2</v>
      </c>
      <c r="F434" s="12">
        <v>132</v>
      </c>
      <c r="G434">
        <v>642</v>
      </c>
      <c r="H434" s="13">
        <v>84715.41</v>
      </c>
      <c r="I434" s="1">
        <v>44302</v>
      </c>
      <c r="J434">
        <v>4</v>
      </c>
      <c r="K434">
        <v>58</v>
      </c>
      <c r="L434">
        <v>25</v>
      </c>
      <c r="M434" t="s">
        <v>160</v>
      </c>
      <c r="N434" t="s">
        <v>153</v>
      </c>
    </row>
    <row r="435" spans="1:14" x14ac:dyDescent="0.25">
      <c r="A435" t="s">
        <v>51</v>
      </c>
      <c r="B435" t="s">
        <v>49</v>
      </c>
      <c r="C435" s="1">
        <v>42394</v>
      </c>
      <c r="D435" t="s">
        <v>127</v>
      </c>
      <c r="E435">
        <v>2</v>
      </c>
      <c r="F435" s="12">
        <v>132</v>
      </c>
      <c r="G435">
        <v>1846</v>
      </c>
      <c r="H435" s="13">
        <v>243643.41</v>
      </c>
      <c r="I435" s="1">
        <v>43215</v>
      </c>
      <c r="J435">
        <v>4</v>
      </c>
      <c r="K435">
        <v>143</v>
      </c>
      <c r="L435">
        <v>35</v>
      </c>
      <c r="M435" t="s">
        <v>164</v>
      </c>
      <c r="N435" t="s">
        <v>153</v>
      </c>
    </row>
    <row r="436" spans="1:14" x14ac:dyDescent="0.25">
      <c r="A436" t="s">
        <v>43</v>
      </c>
      <c r="B436" t="s">
        <v>37</v>
      </c>
      <c r="C436" s="1">
        <v>43490</v>
      </c>
      <c r="D436" t="s">
        <v>127</v>
      </c>
      <c r="E436">
        <v>2</v>
      </c>
      <c r="F436" s="12">
        <v>132</v>
      </c>
      <c r="G436">
        <v>472</v>
      </c>
      <c r="H436" s="13">
        <v>62275.41</v>
      </c>
      <c r="I436" s="1">
        <v>44353</v>
      </c>
      <c r="J436">
        <v>6</v>
      </c>
      <c r="K436">
        <v>254</v>
      </c>
      <c r="L436">
        <v>26</v>
      </c>
      <c r="M436" t="s">
        <v>158</v>
      </c>
      <c r="N436" t="s">
        <v>153</v>
      </c>
    </row>
    <row r="437" spans="1:14" x14ac:dyDescent="0.25">
      <c r="A437" t="s">
        <v>33</v>
      </c>
      <c r="B437" t="s">
        <v>29</v>
      </c>
      <c r="C437" s="1">
        <v>42795</v>
      </c>
      <c r="D437" t="s">
        <v>127</v>
      </c>
      <c r="E437">
        <v>2</v>
      </c>
      <c r="F437" s="12">
        <v>132</v>
      </c>
      <c r="G437">
        <v>1760</v>
      </c>
      <c r="H437" s="13">
        <v>232291.41</v>
      </c>
      <c r="I437" s="1">
        <v>43196</v>
      </c>
      <c r="J437">
        <v>4</v>
      </c>
      <c r="K437">
        <v>426</v>
      </c>
      <c r="L437">
        <v>56</v>
      </c>
      <c r="M437" t="s">
        <v>159</v>
      </c>
      <c r="N437" t="s">
        <v>153</v>
      </c>
    </row>
    <row r="438" spans="1:14" x14ac:dyDescent="0.25">
      <c r="A438" t="s">
        <v>47</v>
      </c>
      <c r="B438" t="s">
        <v>48</v>
      </c>
      <c r="C438" s="1">
        <v>42542</v>
      </c>
      <c r="D438" t="s">
        <v>127</v>
      </c>
      <c r="E438">
        <v>2</v>
      </c>
      <c r="F438" s="12">
        <v>132</v>
      </c>
      <c r="G438">
        <v>660</v>
      </c>
      <c r="H438" s="13">
        <v>87091.41</v>
      </c>
      <c r="I438" s="1">
        <v>44418</v>
      </c>
      <c r="J438">
        <v>8</v>
      </c>
      <c r="K438">
        <v>451</v>
      </c>
      <c r="L438">
        <v>51</v>
      </c>
      <c r="M438" t="s">
        <v>156</v>
      </c>
      <c r="N438" t="s">
        <v>153</v>
      </c>
    </row>
    <row r="439" spans="1:14" x14ac:dyDescent="0.25">
      <c r="A439" t="s">
        <v>44</v>
      </c>
      <c r="B439" t="s">
        <v>2</v>
      </c>
      <c r="C439" s="1">
        <v>42641</v>
      </c>
      <c r="D439" t="s">
        <v>127</v>
      </c>
      <c r="E439">
        <v>2</v>
      </c>
      <c r="F439" s="12">
        <v>132</v>
      </c>
      <c r="G439">
        <v>1557</v>
      </c>
      <c r="H439" s="13">
        <v>205495.41</v>
      </c>
      <c r="I439" s="1">
        <v>43554</v>
      </c>
      <c r="J439">
        <v>3</v>
      </c>
      <c r="K439">
        <v>113</v>
      </c>
      <c r="L439">
        <v>56</v>
      </c>
      <c r="M439" t="s">
        <v>159</v>
      </c>
      <c r="N439" t="s">
        <v>154</v>
      </c>
    </row>
    <row r="440" spans="1:14" x14ac:dyDescent="0.25">
      <c r="A440" t="s">
        <v>60</v>
      </c>
      <c r="B440" t="s">
        <v>55</v>
      </c>
      <c r="C440" s="1">
        <v>43555</v>
      </c>
      <c r="D440" t="s">
        <v>127</v>
      </c>
      <c r="E440">
        <v>2</v>
      </c>
      <c r="F440" s="12">
        <v>132</v>
      </c>
      <c r="G440">
        <v>754</v>
      </c>
      <c r="H440" s="13">
        <v>99499.41</v>
      </c>
      <c r="I440" s="1">
        <v>44120</v>
      </c>
      <c r="J440">
        <v>10</v>
      </c>
      <c r="K440">
        <v>473</v>
      </c>
      <c r="L440">
        <v>65</v>
      </c>
      <c r="M440" t="s">
        <v>157</v>
      </c>
      <c r="N440" t="s">
        <v>153</v>
      </c>
    </row>
    <row r="441" spans="1:14" x14ac:dyDescent="0.25">
      <c r="A441" t="s">
        <v>53</v>
      </c>
      <c r="B441" t="s">
        <v>54</v>
      </c>
      <c r="C441" s="1">
        <v>42816</v>
      </c>
      <c r="D441" t="s">
        <v>127</v>
      </c>
      <c r="E441">
        <v>2</v>
      </c>
      <c r="F441" s="12">
        <v>132</v>
      </c>
      <c r="G441">
        <v>566</v>
      </c>
      <c r="H441" s="13">
        <v>74683.41</v>
      </c>
      <c r="I441" s="1">
        <v>42993</v>
      </c>
      <c r="J441">
        <v>9</v>
      </c>
      <c r="K441">
        <v>419</v>
      </c>
      <c r="L441">
        <v>63</v>
      </c>
      <c r="M441" t="s">
        <v>157</v>
      </c>
      <c r="N441" t="s">
        <v>153</v>
      </c>
    </row>
    <row r="442" spans="1:14" x14ac:dyDescent="0.25">
      <c r="A442" t="s">
        <v>113</v>
      </c>
      <c r="B442" t="s">
        <v>107</v>
      </c>
      <c r="C442" s="1">
        <v>43912</v>
      </c>
      <c r="D442" t="s">
        <v>127</v>
      </c>
      <c r="E442">
        <v>2</v>
      </c>
      <c r="F442" s="12">
        <v>132</v>
      </c>
      <c r="G442">
        <v>1149</v>
      </c>
      <c r="H442" s="13">
        <v>151639.41</v>
      </c>
      <c r="I442" s="1">
        <v>43915</v>
      </c>
      <c r="J442">
        <v>3</v>
      </c>
      <c r="K442">
        <v>525</v>
      </c>
      <c r="L442">
        <v>60</v>
      </c>
      <c r="M442" t="s">
        <v>159</v>
      </c>
      <c r="N442" t="s">
        <v>153</v>
      </c>
    </row>
    <row r="443" spans="1:14" x14ac:dyDescent="0.25">
      <c r="A443" t="s">
        <v>81</v>
      </c>
      <c r="B443" t="s">
        <v>78</v>
      </c>
      <c r="C443" s="1">
        <v>43932</v>
      </c>
      <c r="D443" t="s">
        <v>127</v>
      </c>
      <c r="E443">
        <v>2</v>
      </c>
      <c r="F443" s="12">
        <v>132</v>
      </c>
      <c r="G443">
        <v>689</v>
      </c>
      <c r="H443" s="13">
        <v>90919.41</v>
      </c>
      <c r="I443" s="1">
        <v>44188</v>
      </c>
      <c r="J443">
        <v>12</v>
      </c>
      <c r="K443">
        <v>558</v>
      </c>
      <c r="L443">
        <v>53</v>
      </c>
      <c r="M443" t="s">
        <v>156</v>
      </c>
      <c r="N443" t="s">
        <v>153</v>
      </c>
    </row>
    <row r="444" spans="1:14" x14ac:dyDescent="0.25">
      <c r="A444" t="s">
        <v>75</v>
      </c>
      <c r="B444" t="s">
        <v>76</v>
      </c>
      <c r="C444" s="1">
        <v>43003</v>
      </c>
      <c r="D444" t="s">
        <v>127</v>
      </c>
      <c r="E444">
        <v>2</v>
      </c>
      <c r="F444" s="12">
        <v>132</v>
      </c>
      <c r="G444">
        <v>216</v>
      </c>
      <c r="H444" s="13">
        <v>28483.41</v>
      </c>
      <c r="I444" s="1">
        <v>44058</v>
      </c>
      <c r="J444">
        <v>8</v>
      </c>
      <c r="K444">
        <v>300</v>
      </c>
      <c r="L444">
        <v>55</v>
      </c>
      <c r="M444" t="s">
        <v>156</v>
      </c>
      <c r="N444" t="s">
        <v>153</v>
      </c>
    </row>
    <row r="445" spans="1:14" x14ac:dyDescent="0.25">
      <c r="A445" t="s">
        <v>80</v>
      </c>
      <c r="B445" t="s">
        <v>77</v>
      </c>
      <c r="C445" s="1">
        <v>43282</v>
      </c>
      <c r="D445" t="s">
        <v>127</v>
      </c>
      <c r="E445">
        <v>2</v>
      </c>
      <c r="F445" s="12">
        <v>132</v>
      </c>
      <c r="G445">
        <v>402</v>
      </c>
      <c r="H445" s="13">
        <v>53035.41</v>
      </c>
      <c r="I445" s="1">
        <v>44412</v>
      </c>
      <c r="J445">
        <v>8</v>
      </c>
      <c r="K445">
        <v>501</v>
      </c>
      <c r="L445">
        <v>35</v>
      </c>
      <c r="M445" t="s">
        <v>164</v>
      </c>
      <c r="N445" t="s">
        <v>154</v>
      </c>
    </row>
    <row r="446" spans="1:14" x14ac:dyDescent="0.25">
      <c r="A446" t="s">
        <v>95</v>
      </c>
      <c r="B446" t="s">
        <v>96</v>
      </c>
      <c r="C446" s="1">
        <v>43758</v>
      </c>
      <c r="D446" t="s">
        <v>127</v>
      </c>
      <c r="E446">
        <v>2</v>
      </c>
      <c r="F446" s="12">
        <v>132</v>
      </c>
      <c r="G446">
        <v>814</v>
      </c>
      <c r="H446" s="13">
        <v>107419.41</v>
      </c>
      <c r="I446" s="1">
        <v>43931</v>
      </c>
      <c r="J446">
        <v>4</v>
      </c>
      <c r="K446">
        <v>533</v>
      </c>
      <c r="L446">
        <v>25</v>
      </c>
      <c r="M446" t="s">
        <v>160</v>
      </c>
      <c r="N446" t="s">
        <v>154</v>
      </c>
    </row>
    <row r="447" spans="1:14" x14ac:dyDescent="0.25">
      <c r="A447" t="s">
        <v>63</v>
      </c>
      <c r="B447" t="s">
        <v>58</v>
      </c>
      <c r="C447" s="1">
        <v>43155</v>
      </c>
      <c r="D447" t="s">
        <v>127</v>
      </c>
      <c r="E447">
        <v>2</v>
      </c>
      <c r="F447" s="12">
        <v>132</v>
      </c>
      <c r="G447">
        <v>933</v>
      </c>
      <c r="H447" s="13">
        <v>123127.41</v>
      </c>
      <c r="I447" s="1">
        <v>43503</v>
      </c>
      <c r="J447">
        <v>2</v>
      </c>
      <c r="K447">
        <v>145</v>
      </c>
      <c r="L447">
        <v>55</v>
      </c>
      <c r="M447" t="s">
        <v>156</v>
      </c>
      <c r="N447" t="s">
        <v>154</v>
      </c>
    </row>
    <row r="448" spans="1:14" x14ac:dyDescent="0.25">
      <c r="A448" t="s">
        <v>43</v>
      </c>
      <c r="B448" t="s">
        <v>37</v>
      </c>
      <c r="C448" s="1">
        <v>43490</v>
      </c>
      <c r="D448" t="s">
        <v>127</v>
      </c>
      <c r="E448">
        <v>2</v>
      </c>
      <c r="F448" s="12">
        <v>132</v>
      </c>
      <c r="G448">
        <v>687</v>
      </c>
      <c r="H448" s="13">
        <v>90655.41</v>
      </c>
      <c r="I448" s="1">
        <v>43987</v>
      </c>
      <c r="J448">
        <v>6</v>
      </c>
      <c r="K448">
        <v>118</v>
      </c>
      <c r="L448">
        <v>56</v>
      </c>
      <c r="M448" t="s">
        <v>159</v>
      </c>
      <c r="N448" t="s">
        <v>154</v>
      </c>
    </row>
    <row r="449" spans="1:14" x14ac:dyDescent="0.25">
      <c r="A449" t="s">
        <v>61</v>
      </c>
      <c r="B449" t="s">
        <v>56</v>
      </c>
      <c r="C449" s="1">
        <v>42607</v>
      </c>
      <c r="D449" t="s">
        <v>127</v>
      </c>
      <c r="E449">
        <v>2</v>
      </c>
      <c r="F449" s="12">
        <v>132</v>
      </c>
      <c r="G449">
        <v>135</v>
      </c>
      <c r="H449" s="13">
        <v>17791.41</v>
      </c>
      <c r="I449" s="1">
        <v>43631</v>
      </c>
      <c r="J449">
        <v>6</v>
      </c>
      <c r="K449">
        <v>309</v>
      </c>
      <c r="L449">
        <v>55</v>
      </c>
      <c r="M449" t="s">
        <v>156</v>
      </c>
      <c r="N449" t="s">
        <v>154</v>
      </c>
    </row>
    <row r="450" spans="1:14" x14ac:dyDescent="0.25">
      <c r="A450" t="s">
        <v>32</v>
      </c>
      <c r="B450" t="s">
        <v>28</v>
      </c>
      <c r="C450" s="1">
        <v>43161</v>
      </c>
      <c r="D450" t="s">
        <v>127</v>
      </c>
      <c r="E450">
        <v>2</v>
      </c>
      <c r="F450" s="12">
        <v>132</v>
      </c>
      <c r="G450">
        <v>1794</v>
      </c>
      <c r="H450" s="13">
        <v>236779.41</v>
      </c>
      <c r="I450" s="1">
        <v>43549</v>
      </c>
      <c r="J450">
        <v>3</v>
      </c>
      <c r="K450">
        <v>98</v>
      </c>
      <c r="L450">
        <v>58</v>
      </c>
      <c r="M450" t="s">
        <v>159</v>
      </c>
      <c r="N450" t="s">
        <v>154</v>
      </c>
    </row>
    <row r="451" spans="1:14" x14ac:dyDescent="0.25">
      <c r="A451" t="s">
        <v>63</v>
      </c>
      <c r="B451" t="s">
        <v>58</v>
      </c>
      <c r="C451" s="1">
        <v>43155</v>
      </c>
      <c r="D451" t="s">
        <v>127</v>
      </c>
      <c r="E451">
        <v>2</v>
      </c>
      <c r="F451" s="12">
        <v>132</v>
      </c>
      <c r="G451">
        <v>283</v>
      </c>
      <c r="H451" s="13">
        <v>37274.129999999997</v>
      </c>
      <c r="I451" s="1">
        <v>44091</v>
      </c>
      <c r="J451">
        <v>9</v>
      </c>
      <c r="K451">
        <v>126</v>
      </c>
      <c r="L451">
        <v>64</v>
      </c>
      <c r="M451" t="s">
        <v>157</v>
      </c>
      <c r="N451" t="s">
        <v>153</v>
      </c>
    </row>
    <row r="452" spans="1:14" x14ac:dyDescent="0.25">
      <c r="A452" t="s">
        <v>53</v>
      </c>
      <c r="B452" t="s">
        <v>54</v>
      </c>
      <c r="C452" s="1">
        <v>42816</v>
      </c>
      <c r="D452" t="s">
        <v>130</v>
      </c>
      <c r="E452">
        <v>1</v>
      </c>
      <c r="F452" s="12">
        <v>218</v>
      </c>
      <c r="G452">
        <v>564</v>
      </c>
      <c r="H452" s="13">
        <v>122870.13</v>
      </c>
      <c r="I452" s="1">
        <v>43366</v>
      </c>
      <c r="J452">
        <v>9</v>
      </c>
      <c r="K452">
        <v>204</v>
      </c>
      <c r="L452">
        <v>27</v>
      </c>
      <c r="M452" t="s">
        <v>158</v>
      </c>
      <c r="N452" t="s">
        <v>154</v>
      </c>
    </row>
    <row r="453" spans="1:14" x14ac:dyDescent="0.25">
      <c r="A453" t="s">
        <v>43</v>
      </c>
      <c r="B453" t="s">
        <v>37</v>
      </c>
      <c r="C453" s="1">
        <v>43490</v>
      </c>
      <c r="D453" t="s">
        <v>130</v>
      </c>
      <c r="E453">
        <v>1</v>
      </c>
      <c r="F453" s="12">
        <v>218</v>
      </c>
      <c r="G453">
        <v>319</v>
      </c>
      <c r="H453" s="13">
        <v>69460.13</v>
      </c>
      <c r="I453" s="1">
        <v>44084</v>
      </c>
      <c r="J453">
        <v>9</v>
      </c>
      <c r="K453">
        <v>262</v>
      </c>
      <c r="L453">
        <v>57</v>
      </c>
      <c r="M453" t="s">
        <v>159</v>
      </c>
      <c r="N453" t="s">
        <v>153</v>
      </c>
    </row>
    <row r="454" spans="1:14" x14ac:dyDescent="0.25">
      <c r="A454" t="s">
        <v>72</v>
      </c>
      <c r="B454" t="s">
        <v>67</v>
      </c>
      <c r="C454" s="1">
        <v>43827</v>
      </c>
      <c r="D454" t="s">
        <v>130</v>
      </c>
      <c r="E454">
        <v>1</v>
      </c>
      <c r="F454" s="12">
        <v>218</v>
      </c>
      <c r="G454">
        <v>1909</v>
      </c>
      <c r="H454" s="13">
        <v>416080.13</v>
      </c>
      <c r="I454" s="1">
        <v>44307</v>
      </c>
      <c r="J454">
        <v>4</v>
      </c>
      <c r="K454">
        <v>591</v>
      </c>
      <c r="L454">
        <v>60</v>
      </c>
      <c r="M454" t="s">
        <v>159</v>
      </c>
      <c r="N454" t="s">
        <v>153</v>
      </c>
    </row>
    <row r="455" spans="1:14" x14ac:dyDescent="0.25">
      <c r="A455" t="s">
        <v>53</v>
      </c>
      <c r="B455" t="s">
        <v>54</v>
      </c>
      <c r="C455" s="1">
        <v>42816</v>
      </c>
      <c r="D455" t="s">
        <v>130</v>
      </c>
      <c r="E455">
        <v>1</v>
      </c>
      <c r="F455" s="12">
        <v>218</v>
      </c>
      <c r="G455">
        <v>293</v>
      </c>
      <c r="H455" s="13">
        <v>63792.13</v>
      </c>
      <c r="I455" s="1">
        <v>43752</v>
      </c>
      <c r="J455">
        <v>10</v>
      </c>
      <c r="K455">
        <v>126</v>
      </c>
      <c r="L455">
        <v>64</v>
      </c>
      <c r="M455" t="s">
        <v>157</v>
      </c>
      <c r="N455" t="s">
        <v>153</v>
      </c>
    </row>
    <row r="456" spans="1:14" x14ac:dyDescent="0.25">
      <c r="A456" t="s">
        <v>90</v>
      </c>
      <c r="B456" t="s">
        <v>86</v>
      </c>
      <c r="C456" s="1">
        <v>43995</v>
      </c>
      <c r="D456" t="s">
        <v>130</v>
      </c>
      <c r="E456">
        <v>1</v>
      </c>
      <c r="F456" s="12">
        <v>218</v>
      </c>
      <c r="G456">
        <v>163</v>
      </c>
      <c r="H456" s="13">
        <v>35452.129999999997</v>
      </c>
      <c r="I456" s="1">
        <v>44094</v>
      </c>
      <c r="J456">
        <v>9</v>
      </c>
      <c r="K456">
        <v>329</v>
      </c>
      <c r="L456">
        <v>65</v>
      </c>
      <c r="M456" t="s">
        <v>157</v>
      </c>
      <c r="N456" t="s">
        <v>154</v>
      </c>
    </row>
    <row r="457" spans="1:14" x14ac:dyDescent="0.25">
      <c r="A457" t="s">
        <v>62</v>
      </c>
      <c r="B457" t="s">
        <v>57</v>
      </c>
      <c r="C457" s="1">
        <v>43724</v>
      </c>
      <c r="D457" t="s">
        <v>130</v>
      </c>
      <c r="E457">
        <v>1</v>
      </c>
      <c r="F457" s="12">
        <v>218</v>
      </c>
      <c r="G457">
        <v>574</v>
      </c>
      <c r="H457" s="13">
        <v>125050.13</v>
      </c>
      <c r="I457" s="1">
        <v>44409</v>
      </c>
      <c r="J457">
        <v>8</v>
      </c>
      <c r="K457">
        <v>47</v>
      </c>
      <c r="L457">
        <v>60</v>
      </c>
      <c r="M457" t="s">
        <v>159</v>
      </c>
      <c r="N457" t="s">
        <v>154</v>
      </c>
    </row>
    <row r="458" spans="1:14" x14ac:dyDescent="0.25">
      <c r="A458" t="s">
        <v>34</v>
      </c>
      <c r="B458" t="s">
        <v>30</v>
      </c>
      <c r="C458" s="1">
        <v>43765</v>
      </c>
      <c r="D458" t="s">
        <v>130</v>
      </c>
      <c r="E458">
        <v>1</v>
      </c>
      <c r="F458" s="12">
        <v>218</v>
      </c>
      <c r="G458">
        <v>701</v>
      </c>
      <c r="H458" s="13">
        <v>152736.13</v>
      </c>
      <c r="I458" s="1">
        <v>43883</v>
      </c>
      <c r="J458">
        <v>2</v>
      </c>
      <c r="K458">
        <v>520</v>
      </c>
      <c r="L458">
        <v>57</v>
      </c>
      <c r="M458" t="s">
        <v>159</v>
      </c>
      <c r="N458" t="s">
        <v>154</v>
      </c>
    </row>
    <row r="459" spans="1:14" x14ac:dyDescent="0.25">
      <c r="A459" t="s">
        <v>44</v>
      </c>
      <c r="B459" t="s">
        <v>2</v>
      </c>
      <c r="C459" s="1">
        <v>42641</v>
      </c>
      <c r="D459" t="s">
        <v>130</v>
      </c>
      <c r="E459">
        <v>1</v>
      </c>
      <c r="F459" s="12">
        <v>218</v>
      </c>
      <c r="G459">
        <v>530</v>
      </c>
      <c r="H459" s="13">
        <v>115458.13</v>
      </c>
      <c r="I459" s="1">
        <v>42945</v>
      </c>
      <c r="J459">
        <v>7</v>
      </c>
      <c r="K459">
        <v>169</v>
      </c>
      <c r="L459">
        <v>65</v>
      </c>
      <c r="M459" t="s">
        <v>157</v>
      </c>
      <c r="N459" t="s">
        <v>154</v>
      </c>
    </row>
    <row r="460" spans="1:14" x14ac:dyDescent="0.25">
      <c r="A460" t="s">
        <v>92</v>
      </c>
      <c r="B460" t="s">
        <v>88</v>
      </c>
      <c r="C460" s="1">
        <v>42660</v>
      </c>
      <c r="D460" t="s">
        <v>130</v>
      </c>
      <c r="E460">
        <v>1</v>
      </c>
      <c r="F460" s="12">
        <v>218</v>
      </c>
      <c r="G460">
        <v>208</v>
      </c>
      <c r="H460" s="13">
        <v>45262.13</v>
      </c>
      <c r="I460" s="1">
        <v>42999</v>
      </c>
      <c r="J460">
        <v>9</v>
      </c>
      <c r="K460">
        <v>477</v>
      </c>
      <c r="L460">
        <v>55</v>
      </c>
      <c r="M460" t="s">
        <v>156</v>
      </c>
      <c r="N460" t="s">
        <v>154</v>
      </c>
    </row>
    <row r="461" spans="1:14" x14ac:dyDescent="0.25">
      <c r="A461" t="s">
        <v>114</v>
      </c>
      <c r="B461" t="s">
        <v>108</v>
      </c>
      <c r="C461" s="1">
        <v>42808</v>
      </c>
      <c r="D461" t="s">
        <v>130</v>
      </c>
      <c r="E461">
        <v>1</v>
      </c>
      <c r="F461" s="12">
        <v>218</v>
      </c>
      <c r="G461">
        <v>1412</v>
      </c>
      <c r="H461" s="13">
        <v>307734.13</v>
      </c>
      <c r="I461" s="1">
        <v>43918</v>
      </c>
      <c r="J461">
        <v>3</v>
      </c>
      <c r="K461">
        <v>294</v>
      </c>
      <c r="L461">
        <v>42</v>
      </c>
      <c r="M461" t="s">
        <v>162</v>
      </c>
      <c r="N461" t="s">
        <v>154</v>
      </c>
    </row>
    <row r="462" spans="1:14" x14ac:dyDescent="0.25">
      <c r="A462" t="s">
        <v>43</v>
      </c>
      <c r="B462" t="s">
        <v>37</v>
      </c>
      <c r="C462" s="1">
        <v>43490</v>
      </c>
      <c r="D462" t="s">
        <v>130</v>
      </c>
      <c r="E462">
        <v>1</v>
      </c>
      <c r="F462" s="12">
        <v>218</v>
      </c>
      <c r="G462">
        <v>1037</v>
      </c>
      <c r="H462" s="13">
        <v>225984.13</v>
      </c>
      <c r="I462" s="1">
        <v>43569</v>
      </c>
      <c r="J462">
        <v>4</v>
      </c>
      <c r="K462">
        <v>294</v>
      </c>
      <c r="L462">
        <v>42</v>
      </c>
      <c r="M462" t="s">
        <v>162</v>
      </c>
      <c r="N462" t="s">
        <v>154</v>
      </c>
    </row>
    <row r="463" spans="1:14" x14ac:dyDescent="0.25">
      <c r="A463" t="s">
        <v>73</v>
      </c>
      <c r="B463" t="s">
        <v>68</v>
      </c>
      <c r="C463" s="1">
        <v>43097</v>
      </c>
      <c r="D463" t="s">
        <v>130</v>
      </c>
      <c r="E463">
        <v>1</v>
      </c>
      <c r="F463" s="12">
        <v>218</v>
      </c>
      <c r="G463">
        <v>720</v>
      </c>
      <c r="H463" s="13">
        <v>156878.13</v>
      </c>
      <c r="I463" s="1">
        <v>44394</v>
      </c>
      <c r="J463">
        <v>7</v>
      </c>
      <c r="K463">
        <v>347</v>
      </c>
      <c r="L463">
        <v>59</v>
      </c>
      <c r="M463" t="s">
        <v>159</v>
      </c>
      <c r="N463" t="s">
        <v>154</v>
      </c>
    </row>
    <row r="464" spans="1:14" x14ac:dyDescent="0.25">
      <c r="A464" t="s">
        <v>53</v>
      </c>
      <c r="B464" t="s">
        <v>54</v>
      </c>
      <c r="C464" s="1">
        <v>42816</v>
      </c>
      <c r="D464" t="s">
        <v>130</v>
      </c>
      <c r="E464">
        <v>1</v>
      </c>
      <c r="F464" s="12">
        <v>218</v>
      </c>
      <c r="G464">
        <v>511</v>
      </c>
      <c r="H464" s="13">
        <v>111316.13</v>
      </c>
      <c r="I464" s="1">
        <v>44035</v>
      </c>
      <c r="J464">
        <v>7</v>
      </c>
      <c r="K464">
        <v>35</v>
      </c>
      <c r="L464">
        <v>49</v>
      </c>
      <c r="M464" t="s">
        <v>163</v>
      </c>
      <c r="N464" t="s">
        <v>154</v>
      </c>
    </row>
    <row r="465" spans="1:14" x14ac:dyDescent="0.25">
      <c r="A465" t="s">
        <v>64</v>
      </c>
      <c r="B465" t="s">
        <v>59</v>
      </c>
      <c r="C465" s="1">
        <v>43153</v>
      </c>
      <c r="D465" t="s">
        <v>130</v>
      </c>
      <c r="E465">
        <v>1</v>
      </c>
      <c r="F465" s="12">
        <v>218</v>
      </c>
      <c r="G465">
        <v>749</v>
      </c>
      <c r="H465" s="13">
        <v>163200.13</v>
      </c>
      <c r="I465" s="1">
        <v>43883</v>
      </c>
      <c r="J465">
        <v>2</v>
      </c>
      <c r="K465">
        <v>277</v>
      </c>
      <c r="L465">
        <v>32</v>
      </c>
      <c r="M465" t="s">
        <v>164</v>
      </c>
      <c r="N465" t="s">
        <v>153</v>
      </c>
    </row>
    <row r="466" spans="1:14" x14ac:dyDescent="0.25">
      <c r="A466" t="s">
        <v>71</v>
      </c>
      <c r="B466" t="s">
        <v>66</v>
      </c>
      <c r="C466" s="1">
        <v>43621</v>
      </c>
      <c r="D466" t="s">
        <v>130</v>
      </c>
      <c r="E466">
        <v>1</v>
      </c>
      <c r="F466" s="12">
        <v>218</v>
      </c>
      <c r="G466">
        <v>445</v>
      </c>
      <c r="H466" s="13">
        <v>96928.13</v>
      </c>
      <c r="I466" s="1">
        <v>44358</v>
      </c>
      <c r="J466">
        <v>6</v>
      </c>
      <c r="K466">
        <v>63</v>
      </c>
      <c r="L466">
        <v>22</v>
      </c>
      <c r="M466" t="s">
        <v>160</v>
      </c>
      <c r="N466" t="s">
        <v>153</v>
      </c>
    </row>
    <row r="467" spans="1:14" x14ac:dyDescent="0.25">
      <c r="A467" t="s">
        <v>73</v>
      </c>
      <c r="B467" t="s">
        <v>68</v>
      </c>
      <c r="C467" s="1">
        <v>43097</v>
      </c>
      <c r="D467" t="s">
        <v>130</v>
      </c>
      <c r="E467">
        <v>1</v>
      </c>
      <c r="F467" s="12">
        <v>218</v>
      </c>
      <c r="G467">
        <v>203</v>
      </c>
      <c r="H467" s="13">
        <v>44172.13</v>
      </c>
      <c r="I467" s="1">
        <v>44194</v>
      </c>
      <c r="J467">
        <v>12</v>
      </c>
      <c r="K467">
        <v>109</v>
      </c>
      <c r="L467">
        <v>41</v>
      </c>
      <c r="M467" t="s">
        <v>162</v>
      </c>
      <c r="N467" t="s">
        <v>153</v>
      </c>
    </row>
    <row r="468" spans="1:14" x14ac:dyDescent="0.25">
      <c r="A468" t="s">
        <v>103</v>
      </c>
      <c r="B468" t="s">
        <v>100</v>
      </c>
      <c r="C468" s="1">
        <v>42080</v>
      </c>
      <c r="D468" t="s">
        <v>130</v>
      </c>
      <c r="E468">
        <v>1</v>
      </c>
      <c r="F468" s="12">
        <v>218</v>
      </c>
      <c r="G468">
        <v>1179</v>
      </c>
      <c r="H468" s="13">
        <v>256940.13</v>
      </c>
      <c r="I468" s="1">
        <v>42785</v>
      </c>
      <c r="J468">
        <v>2</v>
      </c>
      <c r="K468">
        <v>11</v>
      </c>
      <c r="L468">
        <v>57</v>
      </c>
      <c r="M468" t="s">
        <v>159</v>
      </c>
      <c r="N468" t="s">
        <v>154</v>
      </c>
    </row>
    <row r="469" spans="1:14" x14ac:dyDescent="0.25">
      <c r="A469" t="s">
        <v>116</v>
      </c>
      <c r="B469" t="s">
        <v>110</v>
      </c>
      <c r="C469" s="1">
        <v>42277</v>
      </c>
      <c r="D469" t="s">
        <v>130</v>
      </c>
      <c r="E469">
        <v>1</v>
      </c>
      <c r="F469" s="12">
        <v>218</v>
      </c>
      <c r="G469">
        <v>836</v>
      </c>
      <c r="H469" s="13">
        <v>182166.13</v>
      </c>
      <c r="I469" s="1">
        <v>42443</v>
      </c>
      <c r="J469">
        <v>3</v>
      </c>
      <c r="K469">
        <v>385</v>
      </c>
      <c r="L469">
        <v>62</v>
      </c>
      <c r="M469" t="s">
        <v>157</v>
      </c>
      <c r="N469" t="s">
        <v>154</v>
      </c>
    </row>
    <row r="470" spans="1:14" x14ac:dyDescent="0.25">
      <c r="A470" t="s">
        <v>74</v>
      </c>
      <c r="B470" t="s">
        <v>69</v>
      </c>
      <c r="C470" s="1">
        <v>42228</v>
      </c>
      <c r="D470" t="s">
        <v>130</v>
      </c>
      <c r="E470">
        <v>1</v>
      </c>
      <c r="F470" s="12">
        <v>218</v>
      </c>
      <c r="G470">
        <v>625</v>
      </c>
      <c r="H470" s="13">
        <v>136168.13</v>
      </c>
      <c r="I470" s="1">
        <v>42518</v>
      </c>
      <c r="J470">
        <v>5</v>
      </c>
      <c r="K470">
        <v>99</v>
      </c>
      <c r="L470">
        <v>43</v>
      </c>
      <c r="M470" t="s">
        <v>162</v>
      </c>
      <c r="N470" t="s">
        <v>154</v>
      </c>
    </row>
    <row r="471" spans="1:14" x14ac:dyDescent="0.25">
      <c r="A471" t="s">
        <v>114</v>
      </c>
      <c r="B471" t="s">
        <v>108</v>
      </c>
      <c r="C471" s="1">
        <v>42808</v>
      </c>
      <c r="D471" t="s">
        <v>130</v>
      </c>
      <c r="E471">
        <v>1</v>
      </c>
      <c r="F471" s="12">
        <v>218</v>
      </c>
      <c r="G471">
        <v>488</v>
      </c>
      <c r="H471" s="13">
        <v>106302.13</v>
      </c>
      <c r="I471" s="1">
        <v>44213</v>
      </c>
      <c r="J471">
        <v>1</v>
      </c>
      <c r="K471">
        <v>220</v>
      </c>
      <c r="L471">
        <v>25</v>
      </c>
      <c r="M471" t="s">
        <v>160</v>
      </c>
      <c r="N471" t="s">
        <v>153</v>
      </c>
    </row>
    <row r="472" spans="1:14" x14ac:dyDescent="0.25">
      <c r="A472" t="s">
        <v>40</v>
      </c>
      <c r="B472" t="s">
        <v>0</v>
      </c>
      <c r="C472" s="1">
        <v>43287</v>
      </c>
      <c r="D472" t="s">
        <v>130</v>
      </c>
      <c r="E472">
        <v>1</v>
      </c>
      <c r="F472" s="12">
        <v>218</v>
      </c>
      <c r="G472">
        <v>327</v>
      </c>
      <c r="H472" s="13">
        <v>71204.13</v>
      </c>
      <c r="I472" s="1">
        <v>43639</v>
      </c>
      <c r="J472">
        <v>6</v>
      </c>
      <c r="K472">
        <v>25</v>
      </c>
      <c r="L472">
        <v>59</v>
      </c>
      <c r="M472" t="s">
        <v>159</v>
      </c>
      <c r="N472" t="s">
        <v>154</v>
      </c>
    </row>
    <row r="473" spans="1:14" x14ac:dyDescent="0.25">
      <c r="A473" t="s">
        <v>60</v>
      </c>
      <c r="B473" t="s">
        <v>55</v>
      </c>
      <c r="C473" s="1">
        <v>43555</v>
      </c>
      <c r="D473" t="s">
        <v>130</v>
      </c>
      <c r="E473">
        <v>1</v>
      </c>
      <c r="F473" s="12">
        <v>218</v>
      </c>
      <c r="G473">
        <v>1978</v>
      </c>
      <c r="H473" s="13">
        <v>431122.13</v>
      </c>
      <c r="I473" s="1">
        <v>43943</v>
      </c>
      <c r="J473">
        <v>4</v>
      </c>
      <c r="K473">
        <v>167</v>
      </c>
      <c r="L473">
        <v>57</v>
      </c>
      <c r="M473" t="s">
        <v>159</v>
      </c>
      <c r="N473" t="s">
        <v>153</v>
      </c>
    </row>
    <row r="474" spans="1:14" x14ac:dyDescent="0.25">
      <c r="A474" t="s">
        <v>32</v>
      </c>
      <c r="B474" t="s">
        <v>28</v>
      </c>
      <c r="C474" s="1">
        <v>43161</v>
      </c>
      <c r="D474" t="s">
        <v>130</v>
      </c>
      <c r="E474">
        <v>1</v>
      </c>
      <c r="F474" s="12">
        <v>218</v>
      </c>
      <c r="G474">
        <v>1253</v>
      </c>
      <c r="H474" s="13">
        <v>273072.13</v>
      </c>
      <c r="I474" s="1">
        <v>43212</v>
      </c>
      <c r="J474">
        <v>4</v>
      </c>
      <c r="K474">
        <v>158</v>
      </c>
      <c r="L474">
        <v>50</v>
      </c>
      <c r="M474" t="s">
        <v>163</v>
      </c>
      <c r="N474" t="s">
        <v>154</v>
      </c>
    </row>
    <row r="475" spans="1:14" x14ac:dyDescent="0.25">
      <c r="A475" t="s">
        <v>73</v>
      </c>
      <c r="B475" t="s">
        <v>68</v>
      </c>
      <c r="C475" s="1">
        <v>43097</v>
      </c>
      <c r="D475" t="s">
        <v>130</v>
      </c>
      <c r="E475">
        <v>1</v>
      </c>
      <c r="F475" s="12">
        <v>218</v>
      </c>
      <c r="G475">
        <v>995</v>
      </c>
      <c r="H475" s="13">
        <v>216828.13</v>
      </c>
      <c r="I475" s="1">
        <v>43168</v>
      </c>
      <c r="J475">
        <v>3</v>
      </c>
      <c r="K475">
        <v>519</v>
      </c>
      <c r="L475">
        <v>40</v>
      </c>
      <c r="M475" t="s">
        <v>161</v>
      </c>
      <c r="N475" t="s">
        <v>153</v>
      </c>
    </row>
    <row r="476" spans="1:14" x14ac:dyDescent="0.25">
      <c r="A476" t="s">
        <v>64</v>
      </c>
      <c r="B476" t="s">
        <v>59</v>
      </c>
      <c r="C476" s="1">
        <v>43153</v>
      </c>
      <c r="D476" t="s">
        <v>130</v>
      </c>
      <c r="E476">
        <v>1</v>
      </c>
      <c r="F476" s="12">
        <v>218</v>
      </c>
      <c r="G476">
        <v>625</v>
      </c>
      <c r="H476" s="13">
        <v>136168.13</v>
      </c>
      <c r="I476" s="1">
        <v>43605</v>
      </c>
      <c r="J476">
        <v>5</v>
      </c>
      <c r="K476">
        <v>394</v>
      </c>
      <c r="L476">
        <v>58</v>
      </c>
      <c r="M476" t="s">
        <v>159</v>
      </c>
      <c r="N476" t="s">
        <v>154</v>
      </c>
    </row>
    <row r="477" spans="1:14" x14ac:dyDescent="0.25">
      <c r="A477" t="s">
        <v>113</v>
      </c>
      <c r="B477" t="s">
        <v>107</v>
      </c>
      <c r="C477" s="1">
        <v>43912</v>
      </c>
      <c r="D477" t="s">
        <v>130</v>
      </c>
      <c r="E477">
        <v>1</v>
      </c>
      <c r="F477" s="12">
        <v>218</v>
      </c>
      <c r="G477">
        <v>576</v>
      </c>
      <c r="H477" s="13">
        <v>125486.13</v>
      </c>
      <c r="I477" s="1">
        <v>44038</v>
      </c>
      <c r="J477">
        <v>7</v>
      </c>
      <c r="K477">
        <v>564</v>
      </c>
      <c r="L477">
        <v>45</v>
      </c>
      <c r="M477" t="s">
        <v>162</v>
      </c>
      <c r="N477" t="s">
        <v>154</v>
      </c>
    </row>
    <row r="478" spans="1:14" x14ac:dyDescent="0.25">
      <c r="A478" t="s">
        <v>73</v>
      </c>
      <c r="B478" t="s">
        <v>68</v>
      </c>
      <c r="C478" s="1">
        <v>43097</v>
      </c>
      <c r="D478" t="s">
        <v>130</v>
      </c>
      <c r="E478">
        <v>1</v>
      </c>
      <c r="F478" s="12">
        <v>218</v>
      </c>
      <c r="G478">
        <v>490</v>
      </c>
      <c r="H478" s="13">
        <v>106738.13</v>
      </c>
      <c r="I478" s="1">
        <v>43808</v>
      </c>
      <c r="J478">
        <v>12</v>
      </c>
      <c r="K478">
        <v>145</v>
      </c>
      <c r="L478">
        <v>55</v>
      </c>
      <c r="M478" t="s">
        <v>156</v>
      </c>
      <c r="N478" t="s">
        <v>154</v>
      </c>
    </row>
    <row r="479" spans="1:14" x14ac:dyDescent="0.25">
      <c r="A479" t="s">
        <v>90</v>
      </c>
      <c r="B479" t="s">
        <v>86</v>
      </c>
      <c r="C479" s="1">
        <v>43995</v>
      </c>
      <c r="D479" t="s">
        <v>130</v>
      </c>
      <c r="E479">
        <v>1</v>
      </c>
      <c r="F479" s="12">
        <v>218</v>
      </c>
      <c r="G479">
        <v>470</v>
      </c>
      <c r="H479" s="13">
        <v>102378.13</v>
      </c>
      <c r="I479" s="1">
        <v>44218</v>
      </c>
      <c r="J479">
        <v>1</v>
      </c>
      <c r="K479">
        <v>507</v>
      </c>
      <c r="L479">
        <v>26</v>
      </c>
      <c r="M479" t="s">
        <v>158</v>
      </c>
      <c r="N479" t="s">
        <v>154</v>
      </c>
    </row>
    <row r="480" spans="1:14" x14ac:dyDescent="0.25">
      <c r="A480" t="s">
        <v>63</v>
      </c>
      <c r="B480" t="s">
        <v>58</v>
      </c>
      <c r="C480" s="1">
        <v>43155</v>
      </c>
      <c r="D480" t="s">
        <v>130</v>
      </c>
      <c r="E480">
        <v>1</v>
      </c>
      <c r="F480" s="12">
        <v>218</v>
      </c>
      <c r="G480">
        <v>1408</v>
      </c>
      <c r="H480" s="13">
        <v>306862.13</v>
      </c>
      <c r="I480" s="1">
        <v>43885</v>
      </c>
      <c r="J480">
        <v>2</v>
      </c>
      <c r="K480">
        <v>200</v>
      </c>
      <c r="L480">
        <v>66</v>
      </c>
      <c r="M480" t="s">
        <v>165</v>
      </c>
      <c r="N480" t="s">
        <v>154</v>
      </c>
    </row>
    <row r="481" spans="1:14" x14ac:dyDescent="0.25">
      <c r="A481" t="s">
        <v>105</v>
      </c>
      <c r="B481" t="s">
        <v>106</v>
      </c>
      <c r="C481" s="1">
        <v>43451</v>
      </c>
      <c r="D481" t="s">
        <v>130</v>
      </c>
      <c r="E481">
        <v>1</v>
      </c>
      <c r="F481" s="12">
        <v>218</v>
      </c>
      <c r="G481">
        <v>191</v>
      </c>
      <c r="H481" s="13">
        <v>41556.129999999997</v>
      </c>
      <c r="I481" s="1">
        <v>44089</v>
      </c>
      <c r="J481">
        <v>9</v>
      </c>
      <c r="K481">
        <v>67</v>
      </c>
      <c r="L481">
        <v>30</v>
      </c>
      <c r="M481" t="s">
        <v>158</v>
      </c>
      <c r="N481" t="s">
        <v>154</v>
      </c>
    </row>
    <row r="482" spans="1:14" x14ac:dyDescent="0.25">
      <c r="A482" t="s">
        <v>44</v>
      </c>
      <c r="B482" t="s">
        <v>2</v>
      </c>
      <c r="C482" s="1">
        <v>42641</v>
      </c>
      <c r="D482" t="s">
        <v>130</v>
      </c>
      <c r="E482">
        <v>1</v>
      </c>
      <c r="F482" s="12">
        <v>218</v>
      </c>
      <c r="G482">
        <v>509</v>
      </c>
      <c r="H482" s="13">
        <v>110880.13</v>
      </c>
      <c r="I482" s="1">
        <v>44319</v>
      </c>
      <c r="J482">
        <v>5</v>
      </c>
      <c r="K482">
        <v>470</v>
      </c>
      <c r="L482">
        <v>43</v>
      </c>
      <c r="M482" t="s">
        <v>162</v>
      </c>
      <c r="N482" t="s">
        <v>153</v>
      </c>
    </row>
    <row r="483" spans="1:14" x14ac:dyDescent="0.25">
      <c r="A483" t="s">
        <v>75</v>
      </c>
      <c r="B483" t="s">
        <v>76</v>
      </c>
      <c r="C483" s="1">
        <v>43003</v>
      </c>
      <c r="D483" t="s">
        <v>130</v>
      </c>
      <c r="E483">
        <v>1</v>
      </c>
      <c r="F483" s="12">
        <v>218</v>
      </c>
      <c r="G483">
        <v>228</v>
      </c>
      <c r="H483" s="13">
        <v>49622.13</v>
      </c>
      <c r="I483" s="1">
        <v>44103</v>
      </c>
      <c r="J483">
        <v>9</v>
      </c>
      <c r="K483">
        <v>504</v>
      </c>
      <c r="L483">
        <v>60</v>
      </c>
      <c r="M483" t="s">
        <v>159</v>
      </c>
      <c r="N483" t="s">
        <v>154</v>
      </c>
    </row>
    <row r="484" spans="1:14" x14ac:dyDescent="0.25">
      <c r="A484" t="s">
        <v>40</v>
      </c>
      <c r="B484" t="s">
        <v>0</v>
      </c>
      <c r="C484" s="1">
        <v>43287</v>
      </c>
      <c r="D484" t="s">
        <v>130</v>
      </c>
      <c r="E484">
        <v>1</v>
      </c>
      <c r="F484" s="12">
        <v>218</v>
      </c>
      <c r="G484">
        <v>183</v>
      </c>
      <c r="H484" s="13">
        <v>39812.129999999997</v>
      </c>
      <c r="I484" s="1">
        <v>44140</v>
      </c>
      <c r="J484">
        <v>11</v>
      </c>
      <c r="K484">
        <v>110</v>
      </c>
      <c r="L484">
        <v>54</v>
      </c>
      <c r="M484" t="s">
        <v>156</v>
      </c>
      <c r="N484" t="s">
        <v>153</v>
      </c>
    </row>
    <row r="485" spans="1:14" x14ac:dyDescent="0.25">
      <c r="A485" t="s">
        <v>42</v>
      </c>
      <c r="B485" t="s">
        <v>1</v>
      </c>
      <c r="C485" s="1">
        <v>43712</v>
      </c>
      <c r="D485" t="s">
        <v>130</v>
      </c>
      <c r="E485">
        <v>1</v>
      </c>
      <c r="F485" s="12">
        <v>218</v>
      </c>
      <c r="G485">
        <v>707</v>
      </c>
      <c r="H485" s="13">
        <v>154044.13</v>
      </c>
      <c r="I485" s="1">
        <v>44416</v>
      </c>
      <c r="J485">
        <v>8</v>
      </c>
      <c r="K485">
        <v>133</v>
      </c>
      <c r="L485">
        <v>56</v>
      </c>
      <c r="M485" t="s">
        <v>159</v>
      </c>
      <c r="N485" t="s">
        <v>154</v>
      </c>
    </row>
    <row r="486" spans="1:14" x14ac:dyDescent="0.25">
      <c r="A486" t="s">
        <v>35</v>
      </c>
      <c r="B486" t="s">
        <v>3</v>
      </c>
      <c r="C486" s="1">
        <v>42465</v>
      </c>
      <c r="D486" t="s">
        <v>130</v>
      </c>
      <c r="E486">
        <v>1</v>
      </c>
      <c r="F486" s="12">
        <v>218</v>
      </c>
      <c r="G486">
        <v>1049</v>
      </c>
      <c r="H486" s="13">
        <v>228600.13</v>
      </c>
      <c r="I486" s="1">
        <v>44284</v>
      </c>
      <c r="J486">
        <v>3</v>
      </c>
      <c r="K486">
        <v>166</v>
      </c>
      <c r="L486">
        <v>65</v>
      </c>
      <c r="M486" t="s">
        <v>157</v>
      </c>
      <c r="N486" t="s">
        <v>154</v>
      </c>
    </row>
    <row r="487" spans="1:14" x14ac:dyDescent="0.25">
      <c r="A487" t="s">
        <v>89</v>
      </c>
      <c r="B487" t="s">
        <v>85</v>
      </c>
      <c r="C487" s="1">
        <v>43093</v>
      </c>
      <c r="D487" t="s">
        <v>130</v>
      </c>
      <c r="E487">
        <v>1</v>
      </c>
      <c r="F487" s="12">
        <v>218</v>
      </c>
      <c r="G487">
        <v>641</v>
      </c>
      <c r="H487" s="13">
        <v>139656.13</v>
      </c>
      <c r="I487" s="1">
        <v>44023</v>
      </c>
      <c r="J487">
        <v>7</v>
      </c>
      <c r="K487">
        <v>340</v>
      </c>
      <c r="L487">
        <v>64</v>
      </c>
      <c r="M487" t="s">
        <v>157</v>
      </c>
      <c r="N487" t="s">
        <v>154</v>
      </c>
    </row>
    <row r="488" spans="1:14" x14ac:dyDescent="0.25">
      <c r="A488" t="s">
        <v>72</v>
      </c>
      <c r="B488" t="s">
        <v>67</v>
      </c>
      <c r="C488" s="1">
        <v>43827</v>
      </c>
      <c r="D488" t="s">
        <v>130</v>
      </c>
      <c r="E488">
        <v>1</v>
      </c>
      <c r="F488" s="12">
        <v>218</v>
      </c>
      <c r="G488">
        <v>461</v>
      </c>
      <c r="H488" s="13">
        <v>100416.13</v>
      </c>
      <c r="I488" s="1">
        <v>44166</v>
      </c>
      <c r="J488">
        <v>12</v>
      </c>
      <c r="K488">
        <v>303</v>
      </c>
      <c r="L488">
        <v>54</v>
      </c>
      <c r="M488" t="s">
        <v>156</v>
      </c>
      <c r="N488" t="s">
        <v>153</v>
      </c>
    </row>
    <row r="489" spans="1:14" x14ac:dyDescent="0.25">
      <c r="A489" t="s">
        <v>46</v>
      </c>
      <c r="B489" t="s">
        <v>39</v>
      </c>
      <c r="C489" s="1">
        <v>43490</v>
      </c>
      <c r="D489" t="s">
        <v>130</v>
      </c>
      <c r="E489">
        <v>1</v>
      </c>
      <c r="F489" s="12">
        <v>218</v>
      </c>
      <c r="G489">
        <v>195</v>
      </c>
      <c r="H489" s="13">
        <v>42428.13</v>
      </c>
      <c r="I489" s="1">
        <v>43790</v>
      </c>
      <c r="J489">
        <v>11</v>
      </c>
      <c r="K489">
        <v>177</v>
      </c>
      <c r="L489">
        <v>36</v>
      </c>
      <c r="M489" t="s">
        <v>161</v>
      </c>
      <c r="N489" t="s">
        <v>154</v>
      </c>
    </row>
    <row r="490" spans="1:14" x14ac:dyDescent="0.25">
      <c r="A490" t="s">
        <v>42</v>
      </c>
      <c r="B490" t="s">
        <v>1</v>
      </c>
      <c r="C490" s="1">
        <v>43712</v>
      </c>
      <c r="D490" t="s">
        <v>130</v>
      </c>
      <c r="E490">
        <v>1</v>
      </c>
      <c r="F490" s="12">
        <v>218</v>
      </c>
      <c r="G490">
        <v>105</v>
      </c>
      <c r="H490" s="13">
        <v>22808.13</v>
      </c>
      <c r="I490" s="1">
        <v>43785</v>
      </c>
      <c r="J490">
        <v>11</v>
      </c>
      <c r="K490">
        <v>143</v>
      </c>
      <c r="L490">
        <v>35</v>
      </c>
      <c r="M490" t="s">
        <v>164</v>
      </c>
      <c r="N490" t="s">
        <v>153</v>
      </c>
    </row>
    <row r="491" spans="1:14" x14ac:dyDescent="0.25">
      <c r="A491" t="s">
        <v>97</v>
      </c>
      <c r="B491" t="s">
        <v>98</v>
      </c>
      <c r="C491" s="1">
        <v>42388</v>
      </c>
      <c r="D491" t="s">
        <v>130</v>
      </c>
      <c r="E491">
        <v>1</v>
      </c>
      <c r="F491" s="12">
        <v>218</v>
      </c>
      <c r="G491">
        <v>274</v>
      </c>
      <c r="H491" s="13">
        <v>59650.13</v>
      </c>
      <c r="I491" s="1">
        <v>43622</v>
      </c>
      <c r="J491">
        <v>6</v>
      </c>
      <c r="K491">
        <v>81</v>
      </c>
      <c r="L491">
        <v>58</v>
      </c>
      <c r="M491" t="s">
        <v>159</v>
      </c>
      <c r="N491" t="s">
        <v>154</v>
      </c>
    </row>
    <row r="492" spans="1:14" x14ac:dyDescent="0.25">
      <c r="A492" t="s">
        <v>44</v>
      </c>
      <c r="B492" t="s">
        <v>2</v>
      </c>
      <c r="C492" s="1">
        <v>42641</v>
      </c>
      <c r="D492" t="s">
        <v>130</v>
      </c>
      <c r="E492">
        <v>1</v>
      </c>
      <c r="F492" s="12">
        <v>218</v>
      </c>
      <c r="G492">
        <v>182</v>
      </c>
      <c r="H492" s="13">
        <v>39594.129999999997</v>
      </c>
      <c r="I492" s="1">
        <v>43251</v>
      </c>
      <c r="J492">
        <v>5</v>
      </c>
      <c r="K492">
        <v>545</v>
      </c>
      <c r="L492">
        <v>28</v>
      </c>
      <c r="M492" t="s">
        <v>158</v>
      </c>
      <c r="N492" t="s">
        <v>153</v>
      </c>
    </row>
    <row r="493" spans="1:14" x14ac:dyDescent="0.25">
      <c r="A493" t="s">
        <v>90</v>
      </c>
      <c r="B493" t="s">
        <v>86</v>
      </c>
      <c r="C493" s="1">
        <v>43995</v>
      </c>
      <c r="D493" t="s">
        <v>130</v>
      </c>
      <c r="E493">
        <v>1</v>
      </c>
      <c r="F493" s="12">
        <v>218</v>
      </c>
      <c r="G493">
        <v>1383</v>
      </c>
      <c r="H493" s="13">
        <v>301412.13</v>
      </c>
      <c r="I493" s="1">
        <v>44230</v>
      </c>
      <c r="J493">
        <v>2</v>
      </c>
      <c r="K493">
        <v>405</v>
      </c>
      <c r="L493">
        <v>58</v>
      </c>
      <c r="M493" t="s">
        <v>159</v>
      </c>
      <c r="N493" t="s">
        <v>154</v>
      </c>
    </row>
    <row r="494" spans="1:14" x14ac:dyDescent="0.25">
      <c r="A494" t="s">
        <v>113</v>
      </c>
      <c r="B494" t="s">
        <v>107</v>
      </c>
      <c r="C494" s="1">
        <v>43912</v>
      </c>
      <c r="D494" t="s">
        <v>130</v>
      </c>
      <c r="E494">
        <v>1</v>
      </c>
      <c r="F494" s="12">
        <v>218</v>
      </c>
      <c r="G494">
        <v>376</v>
      </c>
      <c r="H494" s="13">
        <v>81886.13</v>
      </c>
      <c r="I494" s="1">
        <v>44061</v>
      </c>
      <c r="J494">
        <v>8</v>
      </c>
      <c r="K494">
        <v>367</v>
      </c>
      <c r="L494">
        <v>56</v>
      </c>
      <c r="M494" t="s">
        <v>159</v>
      </c>
      <c r="N494" t="s">
        <v>154</v>
      </c>
    </row>
    <row r="495" spans="1:14" x14ac:dyDescent="0.25">
      <c r="A495" t="s">
        <v>61</v>
      </c>
      <c r="B495" t="s">
        <v>56</v>
      </c>
      <c r="C495" s="1">
        <v>42607</v>
      </c>
      <c r="D495" t="s">
        <v>130</v>
      </c>
      <c r="E495">
        <v>1</v>
      </c>
      <c r="F495" s="12">
        <v>218</v>
      </c>
      <c r="G495">
        <v>417</v>
      </c>
      <c r="H495" s="13">
        <v>90824.13</v>
      </c>
      <c r="I495" s="1">
        <v>43592</v>
      </c>
      <c r="J495">
        <v>5</v>
      </c>
      <c r="K495">
        <v>143</v>
      </c>
      <c r="L495">
        <v>35</v>
      </c>
      <c r="M495" t="s">
        <v>164</v>
      </c>
      <c r="N495" t="s">
        <v>153</v>
      </c>
    </row>
    <row r="496" spans="1:14" x14ac:dyDescent="0.25">
      <c r="A496" t="s">
        <v>83</v>
      </c>
      <c r="B496" t="s">
        <v>84</v>
      </c>
      <c r="C496" s="1">
        <v>43427</v>
      </c>
      <c r="D496" t="s">
        <v>130</v>
      </c>
      <c r="E496">
        <v>1</v>
      </c>
      <c r="F496" s="12">
        <v>218</v>
      </c>
      <c r="G496">
        <v>967</v>
      </c>
      <c r="H496" s="13">
        <v>210724.13</v>
      </c>
      <c r="I496" s="1">
        <v>44270</v>
      </c>
      <c r="J496">
        <v>3</v>
      </c>
      <c r="K496">
        <v>306</v>
      </c>
      <c r="L496">
        <v>55</v>
      </c>
      <c r="M496" t="s">
        <v>156</v>
      </c>
      <c r="N496" t="s">
        <v>154</v>
      </c>
    </row>
    <row r="497" spans="1:14" x14ac:dyDescent="0.25">
      <c r="A497" t="s">
        <v>95</v>
      </c>
      <c r="B497" t="s">
        <v>96</v>
      </c>
      <c r="C497" s="1">
        <v>43758</v>
      </c>
      <c r="D497" t="s">
        <v>130</v>
      </c>
      <c r="E497">
        <v>1</v>
      </c>
      <c r="F497" s="12">
        <v>218</v>
      </c>
      <c r="G497">
        <v>608</v>
      </c>
      <c r="H497" s="13">
        <v>132462.13</v>
      </c>
      <c r="I497" s="1">
        <v>43985</v>
      </c>
      <c r="J497">
        <v>6</v>
      </c>
      <c r="K497">
        <v>39</v>
      </c>
      <c r="L497">
        <v>21</v>
      </c>
      <c r="M497" t="s">
        <v>160</v>
      </c>
      <c r="N497" t="s">
        <v>153</v>
      </c>
    </row>
    <row r="498" spans="1:14" x14ac:dyDescent="0.25">
      <c r="A498" t="s">
        <v>70</v>
      </c>
      <c r="B498" t="s">
        <v>65</v>
      </c>
      <c r="C498" s="1">
        <v>43523</v>
      </c>
      <c r="D498" t="s">
        <v>130</v>
      </c>
      <c r="E498">
        <v>1</v>
      </c>
      <c r="F498" s="12">
        <v>218</v>
      </c>
      <c r="G498">
        <v>358</v>
      </c>
      <c r="H498" s="13">
        <v>77962.13</v>
      </c>
      <c r="I498" s="1">
        <v>43765</v>
      </c>
      <c r="J498">
        <v>10</v>
      </c>
      <c r="K498">
        <v>131</v>
      </c>
      <c r="L498">
        <v>56</v>
      </c>
      <c r="M498" t="s">
        <v>159</v>
      </c>
      <c r="N498" t="s">
        <v>154</v>
      </c>
    </row>
    <row r="499" spans="1:14" x14ac:dyDescent="0.25">
      <c r="A499" t="s">
        <v>105</v>
      </c>
      <c r="B499" t="s">
        <v>106</v>
      </c>
      <c r="C499" s="1">
        <v>43451</v>
      </c>
      <c r="D499" t="s">
        <v>130</v>
      </c>
      <c r="E499">
        <v>1</v>
      </c>
      <c r="F499" s="12">
        <v>218</v>
      </c>
      <c r="G499">
        <v>397</v>
      </c>
      <c r="H499" s="13">
        <v>86464.13</v>
      </c>
      <c r="I499" s="1">
        <v>43493</v>
      </c>
      <c r="J499">
        <v>1</v>
      </c>
      <c r="K499">
        <v>213</v>
      </c>
      <c r="L499">
        <v>50</v>
      </c>
      <c r="M499" t="s">
        <v>163</v>
      </c>
      <c r="N499" t="s">
        <v>153</v>
      </c>
    </row>
    <row r="500" spans="1:14" x14ac:dyDescent="0.25">
      <c r="A500" t="s">
        <v>113</v>
      </c>
      <c r="B500" t="s">
        <v>107</v>
      </c>
      <c r="C500" s="1">
        <v>43912</v>
      </c>
      <c r="D500" t="s">
        <v>130</v>
      </c>
      <c r="E500">
        <v>1</v>
      </c>
      <c r="F500" s="12">
        <v>218</v>
      </c>
      <c r="G500">
        <v>620</v>
      </c>
      <c r="H500" s="13">
        <v>135078.13</v>
      </c>
      <c r="I500" s="1">
        <v>44011</v>
      </c>
      <c r="J500">
        <v>6</v>
      </c>
      <c r="K500">
        <v>285</v>
      </c>
      <c r="L500">
        <v>46</v>
      </c>
      <c r="M500" t="s">
        <v>163</v>
      </c>
      <c r="N500" t="s">
        <v>154</v>
      </c>
    </row>
    <row r="501" spans="1:14" x14ac:dyDescent="0.25">
      <c r="A501" t="s">
        <v>116</v>
      </c>
      <c r="B501" t="s">
        <v>110</v>
      </c>
      <c r="C501" s="1">
        <v>42277</v>
      </c>
      <c r="D501" t="s">
        <v>130</v>
      </c>
      <c r="E501">
        <v>1</v>
      </c>
      <c r="F501" s="12">
        <v>218</v>
      </c>
      <c r="G501">
        <v>1545</v>
      </c>
      <c r="H501" s="13">
        <v>336728.13</v>
      </c>
      <c r="I501" s="1">
        <v>42828</v>
      </c>
      <c r="J501">
        <v>4</v>
      </c>
      <c r="K501">
        <v>336</v>
      </c>
      <c r="L501">
        <v>40</v>
      </c>
      <c r="M501" t="s">
        <v>161</v>
      </c>
      <c r="N501" t="s">
        <v>154</v>
      </c>
    </row>
    <row r="502" spans="1:14" x14ac:dyDescent="0.25">
      <c r="A502" t="s">
        <v>70</v>
      </c>
      <c r="B502" t="s">
        <v>65</v>
      </c>
      <c r="C502" s="1">
        <v>43523</v>
      </c>
      <c r="D502" t="s">
        <v>130</v>
      </c>
      <c r="E502">
        <v>1</v>
      </c>
      <c r="F502" s="12">
        <v>218</v>
      </c>
      <c r="G502">
        <v>722</v>
      </c>
      <c r="H502" s="13">
        <v>157314.13</v>
      </c>
      <c r="I502" s="1">
        <v>43788</v>
      </c>
      <c r="J502">
        <v>11</v>
      </c>
      <c r="K502">
        <v>148</v>
      </c>
      <c r="L502">
        <v>70</v>
      </c>
      <c r="M502" t="s">
        <v>165</v>
      </c>
      <c r="N502" t="s">
        <v>153</v>
      </c>
    </row>
    <row r="503" spans="1:14" x14ac:dyDescent="0.25">
      <c r="A503" t="s">
        <v>113</v>
      </c>
      <c r="B503" t="s">
        <v>107</v>
      </c>
      <c r="C503" s="1">
        <v>43912</v>
      </c>
      <c r="D503" t="s">
        <v>130</v>
      </c>
      <c r="E503">
        <v>1</v>
      </c>
      <c r="F503" s="12">
        <v>218</v>
      </c>
      <c r="G503">
        <v>1800</v>
      </c>
      <c r="H503" s="13">
        <v>392318.13</v>
      </c>
      <c r="I503" s="1">
        <v>43932</v>
      </c>
      <c r="J503">
        <v>4</v>
      </c>
      <c r="K503">
        <v>19</v>
      </c>
      <c r="L503">
        <v>40</v>
      </c>
      <c r="M503" t="s">
        <v>161</v>
      </c>
      <c r="N503" t="s">
        <v>153</v>
      </c>
    </row>
    <row r="504" spans="1:14" x14ac:dyDescent="0.25">
      <c r="A504" t="s">
        <v>64</v>
      </c>
      <c r="B504" t="s">
        <v>59</v>
      </c>
      <c r="C504" s="1">
        <v>43153</v>
      </c>
      <c r="D504" t="s">
        <v>130</v>
      </c>
      <c r="E504">
        <v>1</v>
      </c>
      <c r="F504" s="12">
        <v>218</v>
      </c>
      <c r="G504">
        <v>574</v>
      </c>
      <c r="H504" s="13">
        <v>125050.13</v>
      </c>
      <c r="I504" s="1">
        <v>43342</v>
      </c>
      <c r="J504">
        <v>8</v>
      </c>
      <c r="K504">
        <v>464</v>
      </c>
      <c r="L504">
        <v>64</v>
      </c>
      <c r="M504" t="s">
        <v>157</v>
      </c>
      <c r="N504" t="s">
        <v>154</v>
      </c>
    </row>
    <row r="505" spans="1:14" x14ac:dyDescent="0.25">
      <c r="A505" t="s">
        <v>42</v>
      </c>
      <c r="B505" t="s">
        <v>1</v>
      </c>
      <c r="C505" s="1">
        <v>43712</v>
      </c>
      <c r="D505" t="s">
        <v>130</v>
      </c>
      <c r="E505">
        <v>1</v>
      </c>
      <c r="F505" s="12">
        <v>218</v>
      </c>
      <c r="G505">
        <v>540</v>
      </c>
      <c r="H505" s="13">
        <v>117638.13</v>
      </c>
      <c r="I505" s="1">
        <v>43969</v>
      </c>
      <c r="J505">
        <v>5</v>
      </c>
      <c r="K505">
        <v>151</v>
      </c>
      <c r="L505">
        <v>51</v>
      </c>
      <c r="M505" t="s">
        <v>156</v>
      </c>
      <c r="N505" t="s">
        <v>153</v>
      </c>
    </row>
    <row r="506" spans="1:14" x14ac:dyDescent="0.25">
      <c r="A506" t="s">
        <v>47</v>
      </c>
      <c r="B506" t="s">
        <v>48</v>
      </c>
      <c r="C506" s="1">
        <v>42542</v>
      </c>
      <c r="D506" t="s">
        <v>130</v>
      </c>
      <c r="E506">
        <v>1</v>
      </c>
      <c r="F506" s="12">
        <v>218</v>
      </c>
      <c r="G506">
        <v>146</v>
      </c>
      <c r="H506" s="13">
        <v>31746.13</v>
      </c>
      <c r="I506" s="1">
        <v>42681</v>
      </c>
      <c r="J506">
        <v>11</v>
      </c>
      <c r="K506">
        <v>282</v>
      </c>
      <c r="L506">
        <v>58</v>
      </c>
      <c r="M506" t="s">
        <v>159</v>
      </c>
      <c r="N506" t="s">
        <v>154</v>
      </c>
    </row>
    <row r="507" spans="1:14" x14ac:dyDescent="0.25">
      <c r="A507" t="s">
        <v>103</v>
      </c>
      <c r="B507" t="s">
        <v>100</v>
      </c>
      <c r="C507" s="1">
        <v>42080</v>
      </c>
      <c r="D507" t="s">
        <v>130</v>
      </c>
      <c r="E507">
        <v>1</v>
      </c>
      <c r="F507" s="12">
        <v>218</v>
      </c>
      <c r="G507">
        <v>684</v>
      </c>
      <c r="H507" s="13">
        <v>149030.13</v>
      </c>
      <c r="I507" s="1">
        <v>44013</v>
      </c>
      <c r="J507">
        <v>7</v>
      </c>
      <c r="K507">
        <v>101</v>
      </c>
      <c r="L507">
        <v>60</v>
      </c>
      <c r="M507" t="s">
        <v>159</v>
      </c>
      <c r="N507" t="s">
        <v>154</v>
      </c>
    </row>
    <row r="508" spans="1:14" x14ac:dyDescent="0.25">
      <c r="A508" t="s">
        <v>32</v>
      </c>
      <c r="B508" t="s">
        <v>28</v>
      </c>
      <c r="C508" s="1">
        <v>43161</v>
      </c>
      <c r="D508" t="s">
        <v>130</v>
      </c>
      <c r="E508">
        <v>1</v>
      </c>
      <c r="F508" s="12">
        <v>218</v>
      </c>
      <c r="G508">
        <v>331</v>
      </c>
      <c r="H508" s="13">
        <v>72076.13</v>
      </c>
      <c r="I508" s="1">
        <v>44418</v>
      </c>
      <c r="J508">
        <v>8</v>
      </c>
      <c r="K508">
        <v>99</v>
      </c>
      <c r="L508">
        <v>43</v>
      </c>
      <c r="M508" t="s">
        <v>162</v>
      </c>
      <c r="N508" t="s">
        <v>154</v>
      </c>
    </row>
    <row r="509" spans="1:14" x14ac:dyDescent="0.25">
      <c r="A509" t="s">
        <v>33</v>
      </c>
      <c r="B509" t="s">
        <v>29</v>
      </c>
      <c r="C509" s="1">
        <v>42795</v>
      </c>
      <c r="D509" t="s">
        <v>130</v>
      </c>
      <c r="E509">
        <v>1</v>
      </c>
      <c r="F509" s="12">
        <v>218</v>
      </c>
      <c r="G509">
        <v>398</v>
      </c>
      <c r="H509" s="13">
        <v>86682.13</v>
      </c>
      <c r="I509" s="1">
        <v>43603</v>
      </c>
      <c r="J509">
        <v>5</v>
      </c>
      <c r="K509">
        <v>206</v>
      </c>
      <c r="L509">
        <v>29</v>
      </c>
      <c r="M509" t="s">
        <v>158</v>
      </c>
      <c r="N509" t="s">
        <v>154</v>
      </c>
    </row>
    <row r="510" spans="1:14" x14ac:dyDescent="0.25">
      <c r="A510" t="s">
        <v>113</v>
      </c>
      <c r="B510" t="s">
        <v>107</v>
      </c>
      <c r="C510" s="1">
        <v>43912</v>
      </c>
      <c r="D510" t="s">
        <v>130</v>
      </c>
      <c r="E510">
        <v>1</v>
      </c>
      <c r="F510" s="12">
        <v>218</v>
      </c>
      <c r="G510">
        <v>204</v>
      </c>
      <c r="H510" s="13">
        <v>44390.13</v>
      </c>
      <c r="I510" s="1">
        <v>44056</v>
      </c>
      <c r="J510">
        <v>8</v>
      </c>
      <c r="K510">
        <v>60</v>
      </c>
      <c r="L510">
        <v>36</v>
      </c>
      <c r="M510" t="s">
        <v>161</v>
      </c>
      <c r="N510" t="s">
        <v>153</v>
      </c>
    </row>
    <row r="511" spans="1:14" x14ac:dyDescent="0.25">
      <c r="A511" t="s">
        <v>70</v>
      </c>
      <c r="B511" t="s">
        <v>65</v>
      </c>
      <c r="C511" s="1">
        <v>43523</v>
      </c>
      <c r="D511" t="s">
        <v>130</v>
      </c>
      <c r="E511">
        <v>1</v>
      </c>
      <c r="F511" s="12">
        <v>218</v>
      </c>
      <c r="G511">
        <v>1664</v>
      </c>
      <c r="H511" s="13">
        <v>362670.13</v>
      </c>
      <c r="I511" s="1">
        <v>44255</v>
      </c>
      <c r="J511">
        <v>2</v>
      </c>
      <c r="K511">
        <v>478</v>
      </c>
      <c r="L511">
        <v>70</v>
      </c>
      <c r="M511" t="s">
        <v>165</v>
      </c>
      <c r="N511" t="s">
        <v>153</v>
      </c>
    </row>
    <row r="512" spans="1:14" x14ac:dyDescent="0.25">
      <c r="A512" t="s">
        <v>52</v>
      </c>
      <c r="B512" t="s">
        <v>50</v>
      </c>
      <c r="C512" s="1">
        <v>43917</v>
      </c>
      <c r="D512" t="s">
        <v>130</v>
      </c>
      <c r="E512">
        <v>1</v>
      </c>
      <c r="F512" s="12">
        <v>218</v>
      </c>
      <c r="G512">
        <v>173</v>
      </c>
      <c r="H512" s="13">
        <v>37632.129999999997</v>
      </c>
      <c r="I512" s="1">
        <v>44429</v>
      </c>
      <c r="J512">
        <v>8</v>
      </c>
      <c r="K512">
        <v>472</v>
      </c>
      <c r="L512">
        <v>52</v>
      </c>
      <c r="M512" t="s">
        <v>156</v>
      </c>
      <c r="N512" t="s">
        <v>154</v>
      </c>
    </row>
    <row r="513" spans="1:14" x14ac:dyDescent="0.25">
      <c r="A513" t="s">
        <v>53</v>
      </c>
      <c r="B513" t="s">
        <v>54</v>
      </c>
      <c r="C513" s="1">
        <v>42816</v>
      </c>
      <c r="D513" t="s">
        <v>130</v>
      </c>
      <c r="E513">
        <v>1</v>
      </c>
      <c r="F513" s="12">
        <v>218</v>
      </c>
      <c r="G513">
        <v>341</v>
      </c>
      <c r="H513" s="13">
        <v>74256.13</v>
      </c>
      <c r="I513" s="1">
        <v>44043</v>
      </c>
      <c r="J513">
        <v>7</v>
      </c>
      <c r="K513">
        <v>170</v>
      </c>
      <c r="L513">
        <v>57</v>
      </c>
      <c r="M513" t="s">
        <v>159</v>
      </c>
      <c r="N513" t="s">
        <v>154</v>
      </c>
    </row>
    <row r="514" spans="1:14" x14ac:dyDescent="0.25">
      <c r="A514" t="s">
        <v>43</v>
      </c>
      <c r="B514" t="s">
        <v>37</v>
      </c>
      <c r="C514" s="1">
        <v>43490</v>
      </c>
      <c r="D514" t="s">
        <v>130</v>
      </c>
      <c r="E514">
        <v>1</v>
      </c>
      <c r="F514" s="12">
        <v>218</v>
      </c>
      <c r="G514">
        <v>367</v>
      </c>
      <c r="H514" s="13">
        <v>79924.13</v>
      </c>
      <c r="I514" s="1">
        <v>43713</v>
      </c>
      <c r="J514">
        <v>9</v>
      </c>
      <c r="K514">
        <v>359</v>
      </c>
      <c r="L514">
        <v>57</v>
      </c>
      <c r="M514" t="s">
        <v>159</v>
      </c>
      <c r="N514" t="s">
        <v>153</v>
      </c>
    </row>
    <row r="515" spans="1:14" x14ac:dyDescent="0.25">
      <c r="A515" t="s">
        <v>70</v>
      </c>
      <c r="B515" t="s">
        <v>65</v>
      </c>
      <c r="C515" s="1">
        <v>43523</v>
      </c>
      <c r="D515" t="s">
        <v>130</v>
      </c>
      <c r="E515">
        <v>1</v>
      </c>
      <c r="F515" s="12">
        <v>218</v>
      </c>
      <c r="G515">
        <v>1294</v>
      </c>
      <c r="H515" s="13">
        <v>282010.13</v>
      </c>
      <c r="I515" s="1">
        <v>43575</v>
      </c>
      <c r="J515">
        <v>4</v>
      </c>
      <c r="K515">
        <v>3</v>
      </c>
      <c r="L515">
        <v>62</v>
      </c>
      <c r="M515" t="s">
        <v>157</v>
      </c>
      <c r="N515" t="s">
        <v>153</v>
      </c>
    </row>
    <row r="516" spans="1:14" x14ac:dyDescent="0.25">
      <c r="A516" t="s">
        <v>32</v>
      </c>
      <c r="B516" t="s">
        <v>28</v>
      </c>
      <c r="C516" s="1">
        <v>43161</v>
      </c>
      <c r="D516" t="s">
        <v>130</v>
      </c>
      <c r="E516">
        <v>1</v>
      </c>
      <c r="F516" s="12">
        <v>218</v>
      </c>
      <c r="G516">
        <v>347</v>
      </c>
      <c r="H516" s="13">
        <v>75564.13</v>
      </c>
      <c r="I516" s="1">
        <v>43772</v>
      </c>
      <c r="J516">
        <v>11</v>
      </c>
      <c r="K516">
        <v>467</v>
      </c>
      <c r="L516">
        <v>54</v>
      </c>
      <c r="M516" t="s">
        <v>156</v>
      </c>
      <c r="N516" t="s">
        <v>153</v>
      </c>
    </row>
    <row r="517" spans="1:14" x14ac:dyDescent="0.25">
      <c r="A517" t="s">
        <v>34</v>
      </c>
      <c r="B517" t="s">
        <v>30</v>
      </c>
      <c r="C517" s="1">
        <v>43765</v>
      </c>
      <c r="D517" t="s">
        <v>130</v>
      </c>
      <c r="E517">
        <v>1</v>
      </c>
      <c r="F517" s="12">
        <v>218</v>
      </c>
      <c r="G517">
        <v>572</v>
      </c>
      <c r="H517" s="13">
        <v>124614.13</v>
      </c>
      <c r="I517" s="1">
        <v>44004</v>
      </c>
      <c r="J517">
        <v>6</v>
      </c>
      <c r="K517">
        <v>558</v>
      </c>
      <c r="L517">
        <v>53</v>
      </c>
      <c r="M517" t="s">
        <v>156</v>
      </c>
      <c r="N517" t="s">
        <v>153</v>
      </c>
    </row>
    <row r="518" spans="1:14" x14ac:dyDescent="0.25">
      <c r="A518" t="s">
        <v>115</v>
      </c>
      <c r="B518" t="s">
        <v>109</v>
      </c>
      <c r="C518" s="1">
        <v>43357</v>
      </c>
      <c r="D518" t="s">
        <v>130</v>
      </c>
      <c r="E518">
        <v>1</v>
      </c>
      <c r="F518" s="12">
        <v>218</v>
      </c>
      <c r="G518">
        <v>1303</v>
      </c>
      <c r="H518" s="13">
        <v>283972.13</v>
      </c>
      <c r="I518" s="1">
        <v>43906</v>
      </c>
      <c r="J518">
        <v>3</v>
      </c>
      <c r="K518">
        <v>239</v>
      </c>
      <c r="L518">
        <v>51</v>
      </c>
      <c r="M518" t="s">
        <v>156</v>
      </c>
      <c r="N518" t="s">
        <v>154</v>
      </c>
    </row>
    <row r="519" spans="1:14" x14ac:dyDescent="0.25">
      <c r="A519" t="s">
        <v>75</v>
      </c>
      <c r="B519" t="s">
        <v>76</v>
      </c>
      <c r="C519" s="1">
        <v>43003</v>
      </c>
      <c r="D519" t="s">
        <v>130</v>
      </c>
      <c r="E519">
        <v>1</v>
      </c>
      <c r="F519" s="12">
        <v>218</v>
      </c>
      <c r="G519">
        <v>615</v>
      </c>
      <c r="H519" s="13">
        <v>133988.13</v>
      </c>
      <c r="I519" s="1">
        <v>44331</v>
      </c>
      <c r="J519">
        <v>5</v>
      </c>
      <c r="K519">
        <v>569</v>
      </c>
      <c r="L519">
        <v>55</v>
      </c>
      <c r="M519" t="s">
        <v>156</v>
      </c>
      <c r="N519" t="s">
        <v>154</v>
      </c>
    </row>
    <row r="520" spans="1:14" x14ac:dyDescent="0.25">
      <c r="A520" t="s">
        <v>105</v>
      </c>
      <c r="B520" t="s">
        <v>106</v>
      </c>
      <c r="C520" s="1">
        <v>43451</v>
      </c>
      <c r="D520" t="s">
        <v>130</v>
      </c>
      <c r="E520">
        <v>1</v>
      </c>
      <c r="F520" s="12">
        <v>218</v>
      </c>
      <c r="G520">
        <v>370</v>
      </c>
      <c r="H520" s="13">
        <v>80578.13</v>
      </c>
      <c r="I520" s="1">
        <v>44011</v>
      </c>
      <c r="J520">
        <v>6</v>
      </c>
      <c r="K520">
        <v>383</v>
      </c>
      <c r="L520">
        <v>55</v>
      </c>
      <c r="M520" t="s">
        <v>156</v>
      </c>
      <c r="N520" t="s">
        <v>154</v>
      </c>
    </row>
    <row r="521" spans="1:14" x14ac:dyDescent="0.25">
      <c r="A521" t="s">
        <v>64</v>
      </c>
      <c r="B521" t="s">
        <v>59</v>
      </c>
      <c r="C521" s="1">
        <v>43153</v>
      </c>
      <c r="D521" t="s">
        <v>130</v>
      </c>
      <c r="E521">
        <v>1</v>
      </c>
      <c r="F521" s="12">
        <v>218</v>
      </c>
      <c r="G521">
        <v>502</v>
      </c>
      <c r="H521" s="13">
        <v>109354.13</v>
      </c>
      <c r="I521" s="1">
        <v>43762</v>
      </c>
      <c r="J521">
        <v>10</v>
      </c>
      <c r="K521">
        <v>309</v>
      </c>
      <c r="L521">
        <v>55</v>
      </c>
      <c r="M521" t="s">
        <v>156</v>
      </c>
      <c r="N521" t="s">
        <v>154</v>
      </c>
    </row>
    <row r="522" spans="1:14" x14ac:dyDescent="0.25">
      <c r="A522" t="s">
        <v>97</v>
      </c>
      <c r="B522" t="s">
        <v>98</v>
      </c>
      <c r="C522" s="1">
        <v>42388</v>
      </c>
      <c r="D522" t="s">
        <v>130</v>
      </c>
      <c r="E522">
        <v>1</v>
      </c>
      <c r="F522" s="12">
        <v>218</v>
      </c>
      <c r="G522">
        <v>660</v>
      </c>
      <c r="H522" s="13">
        <v>143798.13</v>
      </c>
      <c r="I522" s="1">
        <v>42493</v>
      </c>
      <c r="J522">
        <v>5</v>
      </c>
      <c r="K522">
        <v>406</v>
      </c>
      <c r="L522">
        <v>54</v>
      </c>
      <c r="M522" t="s">
        <v>156</v>
      </c>
      <c r="N522" t="s">
        <v>153</v>
      </c>
    </row>
    <row r="523" spans="1:14" x14ac:dyDescent="0.25">
      <c r="A523" t="s">
        <v>118</v>
      </c>
      <c r="B523" t="s">
        <v>112</v>
      </c>
      <c r="C523" s="1">
        <v>43001</v>
      </c>
      <c r="D523" t="s">
        <v>130</v>
      </c>
      <c r="E523">
        <v>1</v>
      </c>
      <c r="F523" s="12">
        <v>218</v>
      </c>
      <c r="G523">
        <v>727</v>
      </c>
      <c r="H523" s="13">
        <v>158404.13</v>
      </c>
      <c r="I523" s="1">
        <v>43256</v>
      </c>
      <c r="J523">
        <v>6</v>
      </c>
      <c r="K523">
        <v>43</v>
      </c>
      <c r="L523">
        <v>60</v>
      </c>
      <c r="M523" t="s">
        <v>159</v>
      </c>
      <c r="N523" t="s">
        <v>153</v>
      </c>
    </row>
    <row r="524" spans="1:14" x14ac:dyDescent="0.25">
      <c r="A524" t="s">
        <v>91</v>
      </c>
      <c r="B524" t="s">
        <v>87</v>
      </c>
      <c r="C524" s="1">
        <v>43557</v>
      </c>
      <c r="D524" t="s">
        <v>130</v>
      </c>
      <c r="E524">
        <v>1</v>
      </c>
      <c r="F524" s="12">
        <v>218</v>
      </c>
      <c r="G524">
        <v>334</v>
      </c>
      <c r="H524" s="13">
        <v>72730.13</v>
      </c>
      <c r="I524" s="1">
        <v>44131</v>
      </c>
      <c r="J524">
        <v>10</v>
      </c>
      <c r="K524">
        <v>574</v>
      </c>
      <c r="L524">
        <v>55</v>
      </c>
      <c r="M524" t="s">
        <v>156</v>
      </c>
      <c r="N524" t="s">
        <v>154</v>
      </c>
    </row>
    <row r="525" spans="1:14" x14ac:dyDescent="0.25">
      <c r="A525" t="s">
        <v>45</v>
      </c>
      <c r="B525" t="s">
        <v>38</v>
      </c>
      <c r="C525" s="1">
        <v>43534</v>
      </c>
      <c r="D525" t="s">
        <v>130</v>
      </c>
      <c r="E525">
        <v>1</v>
      </c>
      <c r="F525" s="12">
        <v>218</v>
      </c>
      <c r="G525">
        <v>1017</v>
      </c>
      <c r="H525" s="13">
        <v>221624.13</v>
      </c>
      <c r="I525" s="1">
        <v>44298</v>
      </c>
      <c r="J525">
        <v>4</v>
      </c>
      <c r="K525">
        <v>513</v>
      </c>
      <c r="L525">
        <v>60</v>
      </c>
      <c r="M525" t="s">
        <v>159</v>
      </c>
      <c r="N525" t="s">
        <v>154</v>
      </c>
    </row>
    <row r="526" spans="1:14" x14ac:dyDescent="0.25">
      <c r="A526" t="s">
        <v>46</v>
      </c>
      <c r="B526" t="s">
        <v>39</v>
      </c>
      <c r="C526" s="1">
        <v>43490</v>
      </c>
      <c r="D526" t="s">
        <v>130</v>
      </c>
      <c r="E526">
        <v>1</v>
      </c>
      <c r="F526" s="12">
        <v>218</v>
      </c>
      <c r="G526">
        <v>396</v>
      </c>
      <c r="H526" s="13">
        <v>86246.13</v>
      </c>
      <c r="I526" s="1">
        <v>44004</v>
      </c>
      <c r="J526">
        <v>6</v>
      </c>
      <c r="K526">
        <v>347</v>
      </c>
      <c r="L526">
        <v>59</v>
      </c>
      <c r="M526" t="s">
        <v>159</v>
      </c>
      <c r="N526" t="s">
        <v>154</v>
      </c>
    </row>
    <row r="527" spans="1:14" x14ac:dyDescent="0.25">
      <c r="A527" t="s">
        <v>103</v>
      </c>
      <c r="B527" t="s">
        <v>100</v>
      </c>
      <c r="C527" s="1">
        <v>42080</v>
      </c>
      <c r="D527" t="s">
        <v>130</v>
      </c>
      <c r="E527">
        <v>1</v>
      </c>
      <c r="F527" s="12">
        <v>218</v>
      </c>
      <c r="G527">
        <v>389</v>
      </c>
      <c r="H527" s="13">
        <v>84720.13</v>
      </c>
      <c r="I527" s="1">
        <v>43783</v>
      </c>
      <c r="J527">
        <v>11</v>
      </c>
      <c r="K527">
        <v>263</v>
      </c>
      <c r="L527">
        <v>45</v>
      </c>
      <c r="M527" t="s">
        <v>162</v>
      </c>
      <c r="N527" t="s">
        <v>154</v>
      </c>
    </row>
    <row r="528" spans="1:14" x14ac:dyDescent="0.25">
      <c r="A528" t="s">
        <v>92</v>
      </c>
      <c r="B528" t="s">
        <v>88</v>
      </c>
      <c r="C528" s="1">
        <v>42660</v>
      </c>
      <c r="D528" t="s">
        <v>130</v>
      </c>
      <c r="E528">
        <v>1</v>
      </c>
      <c r="F528" s="12">
        <v>218</v>
      </c>
      <c r="G528">
        <v>498</v>
      </c>
      <c r="H528" s="13">
        <v>108482.13</v>
      </c>
      <c r="I528" s="1">
        <v>43421</v>
      </c>
      <c r="J528">
        <v>11</v>
      </c>
      <c r="K528">
        <v>191</v>
      </c>
      <c r="L528">
        <v>58</v>
      </c>
      <c r="M528" t="s">
        <v>159</v>
      </c>
      <c r="N528" t="s">
        <v>153</v>
      </c>
    </row>
    <row r="529" spans="1:14" x14ac:dyDescent="0.25">
      <c r="A529" t="s">
        <v>61</v>
      </c>
      <c r="B529" t="s">
        <v>56</v>
      </c>
      <c r="C529" s="1">
        <v>42607</v>
      </c>
      <c r="D529" t="s">
        <v>130</v>
      </c>
      <c r="E529">
        <v>1</v>
      </c>
      <c r="F529" s="12">
        <v>218</v>
      </c>
      <c r="G529">
        <v>503</v>
      </c>
      <c r="H529" s="13">
        <v>109572.13</v>
      </c>
      <c r="I529" s="1">
        <v>42933</v>
      </c>
      <c r="J529">
        <v>7</v>
      </c>
      <c r="K529">
        <v>384</v>
      </c>
      <c r="L529">
        <v>57</v>
      </c>
      <c r="M529" t="s">
        <v>159</v>
      </c>
      <c r="N529" t="s">
        <v>154</v>
      </c>
    </row>
    <row r="530" spans="1:14" x14ac:dyDescent="0.25">
      <c r="A530" t="s">
        <v>105</v>
      </c>
      <c r="B530" t="s">
        <v>106</v>
      </c>
      <c r="C530" s="1">
        <v>43451</v>
      </c>
      <c r="D530" t="s">
        <v>130</v>
      </c>
      <c r="E530">
        <v>1</v>
      </c>
      <c r="F530" s="12">
        <v>218</v>
      </c>
      <c r="G530">
        <v>674</v>
      </c>
      <c r="H530" s="13">
        <v>146850.13</v>
      </c>
      <c r="I530" s="1">
        <v>44436</v>
      </c>
      <c r="J530">
        <v>8</v>
      </c>
      <c r="K530">
        <v>386</v>
      </c>
      <c r="L530">
        <v>24</v>
      </c>
      <c r="M530" t="s">
        <v>160</v>
      </c>
      <c r="N530" t="s">
        <v>153</v>
      </c>
    </row>
    <row r="531" spans="1:14" x14ac:dyDescent="0.25">
      <c r="A531" t="s">
        <v>92</v>
      </c>
      <c r="B531" t="s">
        <v>88</v>
      </c>
      <c r="C531" s="1">
        <v>42660</v>
      </c>
      <c r="D531" t="s">
        <v>130</v>
      </c>
      <c r="E531">
        <v>1</v>
      </c>
      <c r="F531" s="12">
        <v>218</v>
      </c>
      <c r="G531">
        <v>258</v>
      </c>
      <c r="H531" s="13">
        <v>56162.13</v>
      </c>
      <c r="I531" s="1">
        <v>43959</v>
      </c>
      <c r="J531">
        <v>5</v>
      </c>
      <c r="K531">
        <v>404</v>
      </c>
      <c r="L531">
        <v>45</v>
      </c>
      <c r="M531" t="s">
        <v>162</v>
      </c>
      <c r="N531" t="s">
        <v>154</v>
      </c>
    </row>
    <row r="532" spans="1:14" x14ac:dyDescent="0.25">
      <c r="A532" t="s">
        <v>80</v>
      </c>
      <c r="B532" t="s">
        <v>77</v>
      </c>
      <c r="C532" s="1">
        <v>43282</v>
      </c>
      <c r="D532" t="s">
        <v>130</v>
      </c>
      <c r="E532">
        <v>1</v>
      </c>
      <c r="F532" s="12">
        <v>218</v>
      </c>
      <c r="G532">
        <v>237</v>
      </c>
      <c r="H532" s="13">
        <v>51584.13</v>
      </c>
      <c r="I532" s="1">
        <v>43698</v>
      </c>
      <c r="J532">
        <v>8</v>
      </c>
      <c r="K532">
        <v>259</v>
      </c>
      <c r="L532">
        <v>42</v>
      </c>
      <c r="M532" t="s">
        <v>162</v>
      </c>
      <c r="N532" t="s">
        <v>154</v>
      </c>
    </row>
    <row r="533" spans="1:14" x14ac:dyDescent="0.25">
      <c r="A533" t="s">
        <v>80</v>
      </c>
      <c r="B533" t="s">
        <v>77</v>
      </c>
      <c r="C533" s="1">
        <v>43282</v>
      </c>
      <c r="D533" t="s">
        <v>130</v>
      </c>
      <c r="E533">
        <v>1</v>
      </c>
      <c r="F533" s="12">
        <v>218</v>
      </c>
      <c r="G533">
        <v>1089</v>
      </c>
      <c r="H533" s="13">
        <v>237320.13</v>
      </c>
      <c r="I533" s="1">
        <v>43917</v>
      </c>
      <c r="J533">
        <v>3</v>
      </c>
      <c r="K533">
        <v>267</v>
      </c>
      <c r="L533">
        <v>24</v>
      </c>
      <c r="M533" t="s">
        <v>160</v>
      </c>
      <c r="N533" t="s">
        <v>153</v>
      </c>
    </row>
    <row r="534" spans="1:14" x14ac:dyDescent="0.25">
      <c r="A534" t="s">
        <v>60</v>
      </c>
      <c r="B534" t="s">
        <v>55</v>
      </c>
      <c r="C534" s="1">
        <v>43555</v>
      </c>
      <c r="D534" t="s">
        <v>130</v>
      </c>
      <c r="E534">
        <v>1</v>
      </c>
      <c r="F534" s="12">
        <v>218</v>
      </c>
      <c r="G534">
        <v>472</v>
      </c>
      <c r="H534" s="13">
        <v>102814.13</v>
      </c>
      <c r="I534" s="1">
        <v>44191</v>
      </c>
      <c r="J534">
        <v>12</v>
      </c>
      <c r="K534">
        <v>76</v>
      </c>
      <c r="L534">
        <v>35</v>
      </c>
      <c r="M534" t="s">
        <v>164</v>
      </c>
      <c r="N534" t="s">
        <v>153</v>
      </c>
    </row>
    <row r="535" spans="1:14" x14ac:dyDescent="0.25">
      <c r="A535" t="s">
        <v>115</v>
      </c>
      <c r="B535" t="s">
        <v>109</v>
      </c>
      <c r="C535" s="1">
        <v>43357</v>
      </c>
      <c r="D535" t="s">
        <v>130</v>
      </c>
      <c r="E535">
        <v>1</v>
      </c>
      <c r="F535" s="12">
        <v>218</v>
      </c>
      <c r="G535">
        <v>208</v>
      </c>
      <c r="H535" s="13">
        <v>45262.13</v>
      </c>
      <c r="I535" s="1">
        <v>44047</v>
      </c>
      <c r="J535">
        <v>8</v>
      </c>
      <c r="K535">
        <v>84</v>
      </c>
      <c r="L535">
        <v>37</v>
      </c>
      <c r="M535" t="s">
        <v>161</v>
      </c>
      <c r="N535" t="s">
        <v>154</v>
      </c>
    </row>
    <row r="536" spans="1:14" x14ac:dyDescent="0.25">
      <c r="A536" t="s">
        <v>34</v>
      </c>
      <c r="B536" t="s">
        <v>30</v>
      </c>
      <c r="C536" s="1">
        <v>43765</v>
      </c>
      <c r="D536" t="s">
        <v>130</v>
      </c>
      <c r="E536">
        <v>1</v>
      </c>
      <c r="F536" s="12">
        <v>218</v>
      </c>
      <c r="G536">
        <v>557</v>
      </c>
      <c r="H536" s="13">
        <v>121344.13</v>
      </c>
      <c r="I536" s="1">
        <v>44367</v>
      </c>
      <c r="J536">
        <v>6</v>
      </c>
      <c r="K536">
        <v>575</v>
      </c>
      <c r="L536">
        <v>69</v>
      </c>
      <c r="M536" t="s">
        <v>165</v>
      </c>
      <c r="N536" t="s">
        <v>154</v>
      </c>
    </row>
    <row r="537" spans="1:14" x14ac:dyDescent="0.25">
      <c r="A537" t="s">
        <v>70</v>
      </c>
      <c r="B537" t="s">
        <v>65</v>
      </c>
      <c r="C537" s="1">
        <v>43523</v>
      </c>
      <c r="D537" t="s">
        <v>130</v>
      </c>
      <c r="E537">
        <v>1</v>
      </c>
      <c r="F537" s="12">
        <v>218</v>
      </c>
      <c r="G537">
        <v>512</v>
      </c>
      <c r="H537" s="13">
        <v>111534.13</v>
      </c>
      <c r="I537" s="1">
        <v>44372</v>
      </c>
      <c r="J537">
        <v>6</v>
      </c>
      <c r="K537">
        <v>350</v>
      </c>
      <c r="L537">
        <v>42</v>
      </c>
      <c r="M537" t="s">
        <v>162</v>
      </c>
      <c r="N537" t="s">
        <v>154</v>
      </c>
    </row>
    <row r="538" spans="1:14" x14ac:dyDescent="0.25">
      <c r="A538" t="s">
        <v>43</v>
      </c>
      <c r="B538" t="s">
        <v>37</v>
      </c>
      <c r="C538" s="1">
        <v>43490</v>
      </c>
      <c r="D538" t="s">
        <v>130</v>
      </c>
      <c r="E538">
        <v>1</v>
      </c>
      <c r="F538" s="12">
        <v>218</v>
      </c>
      <c r="G538">
        <v>1226</v>
      </c>
      <c r="H538" s="13">
        <v>267186.13</v>
      </c>
      <c r="I538" s="1">
        <v>43541</v>
      </c>
      <c r="J538">
        <v>3</v>
      </c>
      <c r="K538">
        <v>503</v>
      </c>
      <c r="L538">
        <v>35</v>
      </c>
      <c r="M538" t="s">
        <v>164</v>
      </c>
      <c r="N538" t="s">
        <v>153</v>
      </c>
    </row>
    <row r="539" spans="1:14" x14ac:dyDescent="0.25">
      <c r="A539" t="s">
        <v>113</v>
      </c>
      <c r="B539" t="s">
        <v>107</v>
      </c>
      <c r="C539" s="1">
        <v>43912</v>
      </c>
      <c r="D539" t="s">
        <v>130</v>
      </c>
      <c r="E539">
        <v>1</v>
      </c>
      <c r="F539" s="12">
        <v>218</v>
      </c>
      <c r="G539">
        <v>676</v>
      </c>
      <c r="H539" s="13">
        <v>147286.13</v>
      </c>
      <c r="I539" s="1">
        <v>44271</v>
      </c>
      <c r="J539">
        <v>3</v>
      </c>
      <c r="K539">
        <v>294</v>
      </c>
      <c r="L539">
        <v>42</v>
      </c>
      <c r="M539" t="s">
        <v>162</v>
      </c>
      <c r="N539" t="s">
        <v>154</v>
      </c>
    </row>
    <row r="540" spans="1:14" x14ac:dyDescent="0.25">
      <c r="A540" t="s">
        <v>114</v>
      </c>
      <c r="B540" t="s">
        <v>108</v>
      </c>
      <c r="C540" s="1">
        <v>42808</v>
      </c>
      <c r="D540" t="s">
        <v>130</v>
      </c>
      <c r="E540">
        <v>1</v>
      </c>
      <c r="F540" s="12">
        <v>218</v>
      </c>
      <c r="G540">
        <v>1878</v>
      </c>
      <c r="H540" s="13">
        <v>409322.13</v>
      </c>
      <c r="I540" s="1">
        <v>43871</v>
      </c>
      <c r="J540">
        <v>2</v>
      </c>
      <c r="K540">
        <v>86</v>
      </c>
      <c r="L540">
        <v>20</v>
      </c>
      <c r="M540" t="s">
        <v>160</v>
      </c>
      <c r="N540" t="s">
        <v>153</v>
      </c>
    </row>
    <row r="541" spans="1:14" x14ac:dyDescent="0.25">
      <c r="A541" t="s">
        <v>103</v>
      </c>
      <c r="B541" t="s">
        <v>100</v>
      </c>
      <c r="C541" s="1">
        <v>42080</v>
      </c>
      <c r="D541" t="s">
        <v>130</v>
      </c>
      <c r="E541">
        <v>1</v>
      </c>
      <c r="F541" s="12">
        <v>218</v>
      </c>
      <c r="G541">
        <v>854</v>
      </c>
      <c r="H541" s="13">
        <v>186090.13</v>
      </c>
      <c r="I541" s="1">
        <v>43145</v>
      </c>
      <c r="J541">
        <v>2</v>
      </c>
      <c r="K541">
        <v>100</v>
      </c>
      <c r="L541">
        <v>54</v>
      </c>
      <c r="M541" t="s">
        <v>156</v>
      </c>
      <c r="N541" t="s">
        <v>154</v>
      </c>
    </row>
    <row r="542" spans="1:14" x14ac:dyDescent="0.25">
      <c r="A542" t="s">
        <v>81</v>
      </c>
      <c r="B542" t="s">
        <v>78</v>
      </c>
      <c r="C542" s="1">
        <v>43932</v>
      </c>
      <c r="D542" t="s">
        <v>130</v>
      </c>
      <c r="E542">
        <v>1</v>
      </c>
      <c r="F542" s="12">
        <v>218</v>
      </c>
      <c r="G542">
        <v>684</v>
      </c>
      <c r="H542" s="13">
        <v>149030.13</v>
      </c>
      <c r="I542" s="1">
        <v>44346</v>
      </c>
      <c r="J542">
        <v>5</v>
      </c>
      <c r="K542">
        <v>567</v>
      </c>
      <c r="L542">
        <v>58</v>
      </c>
      <c r="M542" t="s">
        <v>159</v>
      </c>
      <c r="N542" t="s">
        <v>154</v>
      </c>
    </row>
    <row r="543" spans="1:14" x14ac:dyDescent="0.25">
      <c r="A543" t="s">
        <v>89</v>
      </c>
      <c r="B543" t="s">
        <v>85</v>
      </c>
      <c r="C543" s="1">
        <v>43093</v>
      </c>
      <c r="D543" t="s">
        <v>130</v>
      </c>
      <c r="E543">
        <v>1</v>
      </c>
      <c r="F543" s="12">
        <v>218</v>
      </c>
      <c r="G543">
        <v>1315</v>
      </c>
      <c r="H543" s="13">
        <v>286588.13</v>
      </c>
      <c r="I543" s="1">
        <v>43553</v>
      </c>
      <c r="J543">
        <v>3</v>
      </c>
      <c r="K543">
        <v>109</v>
      </c>
      <c r="L543">
        <v>41</v>
      </c>
      <c r="M543" t="s">
        <v>162</v>
      </c>
      <c r="N543" t="s">
        <v>153</v>
      </c>
    </row>
    <row r="544" spans="1:14" x14ac:dyDescent="0.25">
      <c r="A544" t="s">
        <v>74</v>
      </c>
      <c r="B544" t="s">
        <v>69</v>
      </c>
      <c r="C544" s="1">
        <v>42228</v>
      </c>
      <c r="D544" t="s">
        <v>130</v>
      </c>
      <c r="E544">
        <v>1</v>
      </c>
      <c r="F544" s="12">
        <v>218</v>
      </c>
      <c r="G544">
        <v>1132</v>
      </c>
      <c r="H544" s="13">
        <v>246694.13</v>
      </c>
      <c r="I544" s="1">
        <v>44260</v>
      </c>
      <c r="J544">
        <v>3</v>
      </c>
      <c r="K544">
        <v>267</v>
      </c>
      <c r="L544">
        <v>24</v>
      </c>
      <c r="M544" t="s">
        <v>160</v>
      </c>
      <c r="N544" t="s">
        <v>153</v>
      </c>
    </row>
    <row r="545" spans="1:14" x14ac:dyDescent="0.25">
      <c r="A545" t="s">
        <v>61</v>
      </c>
      <c r="B545" t="s">
        <v>56</v>
      </c>
      <c r="C545" s="1">
        <v>42607</v>
      </c>
      <c r="D545" t="s">
        <v>130</v>
      </c>
      <c r="E545">
        <v>1</v>
      </c>
      <c r="F545" s="12">
        <v>218</v>
      </c>
      <c r="G545">
        <v>661</v>
      </c>
      <c r="H545" s="13">
        <v>144016.13</v>
      </c>
      <c r="I545" s="1">
        <v>43435</v>
      </c>
      <c r="J545">
        <v>12</v>
      </c>
      <c r="K545">
        <v>505</v>
      </c>
      <c r="L545">
        <v>68</v>
      </c>
      <c r="M545" t="s">
        <v>165</v>
      </c>
      <c r="N545" t="s">
        <v>154</v>
      </c>
    </row>
    <row r="546" spans="1:14" x14ac:dyDescent="0.25">
      <c r="A546" t="s">
        <v>91</v>
      </c>
      <c r="B546" t="s">
        <v>87</v>
      </c>
      <c r="C546" s="1">
        <v>43557</v>
      </c>
      <c r="D546" t="s">
        <v>130</v>
      </c>
      <c r="E546">
        <v>1</v>
      </c>
      <c r="F546" s="12">
        <v>218</v>
      </c>
      <c r="G546">
        <v>788</v>
      </c>
      <c r="H546" s="13">
        <v>171702.13</v>
      </c>
      <c r="I546" s="1">
        <v>43691</v>
      </c>
      <c r="J546">
        <v>8</v>
      </c>
      <c r="K546">
        <v>62</v>
      </c>
      <c r="L546">
        <v>30</v>
      </c>
      <c r="M546" t="s">
        <v>158</v>
      </c>
      <c r="N546" t="s">
        <v>153</v>
      </c>
    </row>
    <row r="547" spans="1:14" x14ac:dyDescent="0.25">
      <c r="A547" t="s">
        <v>42</v>
      </c>
      <c r="B547" t="s">
        <v>1</v>
      </c>
      <c r="C547" s="1">
        <v>43712</v>
      </c>
      <c r="D547" t="s">
        <v>130</v>
      </c>
      <c r="E547">
        <v>1</v>
      </c>
      <c r="F547" s="12">
        <v>218</v>
      </c>
      <c r="G547">
        <v>231</v>
      </c>
      <c r="H547" s="13">
        <v>50276.13</v>
      </c>
      <c r="I547" s="1">
        <v>44167</v>
      </c>
      <c r="J547">
        <v>12</v>
      </c>
      <c r="K547">
        <v>321</v>
      </c>
      <c r="L547">
        <v>51</v>
      </c>
      <c r="M547" t="s">
        <v>156</v>
      </c>
      <c r="N547" t="s">
        <v>154</v>
      </c>
    </row>
    <row r="548" spans="1:14" x14ac:dyDescent="0.25">
      <c r="A548" t="s">
        <v>64</v>
      </c>
      <c r="B548" t="s">
        <v>59</v>
      </c>
      <c r="C548" s="1">
        <v>43153</v>
      </c>
      <c r="D548" t="s">
        <v>130</v>
      </c>
      <c r="E548">
        <v>1</v>
      </c>
      <c r="F548" s="12">
        <v>218</v>
      </c>
      <c r="G548">
        <v>753</v>
      </c>
      <c r="H548" s="13">
        <v>164072.13</v>
      </c>
      <c r="I548" s="1">
        <v>44012</v>
      </c>
      <c r="J548">
        <v>6</v>
      </c>
      <c r="K548">
        <v>402</v>
      </c>
      <c r="L548">
        <v>57</v>
      </c>
      <c r="M548" t="s">
        <v>159</v>
      </c>
      <c r="N548" t="s">
        <v>154</v>
      </c>
    </row>
    <row r="549" spans="1:14" x14ac:dyDescent="0.25">
      <c r="A549" t="s">
        <v>117</v>
      </c>
      <c r="B549" t="s">
        <v>111</v>
      </c>
      <c r="C549" s="1">
        <v>42729</v>
      </c>
      <c r="D549" t="s">
        <v>130</v>
      </c>
      <c r="E549">
        <v>1</v>
      </c>
      <c r="F549" s="12">
        <v>218</v>
      </c>
      <c r="G549">
        <v>723</v>
      </c>
      <c r="H549" s="13">
        <v>157532.13</v>
      </c>
      <c r="I549" s="1">
        <v>43308</v>
      </c>
      <c r="J549">
        <v>7</v>
      </c>
      <c r="K549">
        <v>271</v>
      </c>
      <c r="L549">
        <v>54</v>
      </c>
      <c r="M549" t="s">
        <v>156</v>
      </c>
      <c r="N549" t="s">
        <v>154</v>
      </c>
    </row>
    <row r="550" spans="1:14" x14ac:dyDescent="0.25">
      <c r="A550" t="s">
        <v>74</v>
      </c>
      <c r="B550" t="s">
        <v>69</v>
      </c>
      <c r="C550" s="1">
        <v>42228</v>
      </c>
      <c r="D550" t="s">
        <v>130</v>
      </c>
      <c r="E550">
        <v>1</v>
      </c>
      <c r="F550" s="12">
        <v>218</v>
      </c>
      <c r="G550">
        <v>490</v>
      </c>
      <c r="H550" s="13">
        <v>106738.13</v>
      </c>
      <c r="I550" s="1">
        <v>42376</v>
      </c>
      <c r="J550">
        <v>1</v>
      </c>
      <c r="K550">
        <v>395</v>
      </c>
      <c r="L550">
        <v>52</v>
      </c>
      <c r="M550" t="s">
        <v>156</v>
      </c>
      <c r="N550" t="s">
        <v>154</v>
      </c>
    </row>
    <row r="551" spans="1:14" x14ac:dyDescent="0.25">
      <c r="A551" t="s">
        <v>35</v>
      </c>
      <c r="B551" t="s">
        <v>3</v>
      </c>
      <c r="C551" s="1">
        <v>42465</v>
      </c>
      <c r="D551" t="s">
        <v>130</v>
      </c>
      <c r="E551">
        <v>1</v>
      </c>
      <c r="F551" s="12">
        <v>218</v>
      </c>
      <c r="G551">
        <v>655</v>
      </c>
      <c r="H551" s="13">
        <v>142708.13</v>
      </c>
      <c r="I551" s="1">
        <v>42518</v>
      </c>
      <c r="J551">
        <v>5</v>
      </c>
      <c r="K551">
        <v>58</v>
      </c>
      <c r="L551">
        <v>25</v>
      </c>
      <c r="M551" t="s">
        <v>160</v>
      </c>
      <c r="N551" t="s">
        <v>153</v>
      </c>
    </row>
    <row r="552" spans="1:14" x14ac:dyDescent="0.25">
      <c r="A552" t="s">
        <v>89</v>
      </c>
      <c r="B552" t="s">
        <v>85</v>
      </c>
      <c r="C552" s="1">
        <v>43093</v>
      </c>
      <c r="D552" t="s">
        <v>130</v>
      </c>
      <c r="E552">
        <v>1</v>
      </c>
      <c r="F552" s="12">
        <v>218</v>
      </c>
      <c r="G552">
        <v>724</v>
      </c>
      <c r="H552" s="13">
        <v>157750.13</v>
      </c>
      <c r="I552" s="1">
        <v>43658</v>
      </c>
      <c r="J552">
        <v>7</v>
      </c>
      <c r="K552">
        <v>70</v>
      </c>
      <c r="L552">
        <v>36</v>
      </c>
      <c r="M552" t="s">
        <v>161</v>
      </c>
      <c r="N552" t="s">
        <v>154</v>
      </c>
    </row>
    <row r="553" spans="1:14" x14ac:dyDescent="0.25">
      <c r="A553" t="s">
        <v>64</v>
      </c>
      <c r="B553" t="s">
        <v>59</v>
      </c>
      <c r="C553" s="1">
        <v>43153</v>
      </c>
      <c r="D553" t="s">
        <v>130</v>
      </c>
      <c r="E553">
        <v>1</v>
      </c>
      <c r="F553" s="12">
        <v>218</v>
      </c>
      <c r="G553">
        <v>103</v>
      </c>
      <c r="H553" s="13">
        <v>22372.13</v>
      </c>
      <c r="I553" s="1">
        <v>43647</v>
      </c>
      <c r="J553">
        <v>7</v>
      </c>
      <c r="K553">
        <v>174</v>
      </c>
      <c r="L553">
        <v>40</v>
      </c>
      <c r="M553" t="s">
        <v>161</v>
      </c>
      <c r="N553" t="s">
        <v>153</v>
      </c>
    </row>
    <row r="554" spans="1:14" x14ac:dyDescent="0.25">
      <c r="A554" t="s">
        <v>75</v>
      </c>
      <c r="B554" t="s">
        <v>76</v>
      </c>
      <c r="C554" s="1">
        <v>43003</v>
      </c>
      <c r="D554" t="s">
        <v>130</v>
      </c>
      <c r="E554">
        <v>1</v>
      </c>
      <c r="F554" s="12">
        <v>218</v>
      </c>
      <c r="G554">
        <v>529</v>
      </c>
      <c r="H554" s="13">
        <v>115240.13</v>
      </c>
      <c r="I554" s="1">
        <v>43075</v>
      </c>
      <c r="J554">
        <v>12</v>
      </c>
      <c r="K554">
        <v>486</v>
      </c>
      <c r="L554">
        <v>65</v>
      </c>
      <c r="M554" t="s">
        <v>157</v>
      </c>
      <c r="N554" t="s">
        <v>154</v>
      </c>
    </row>
    <row r="555" spans="1:14" x14ac:dyDescent="0.25">
      <c r="A555" t="s">
        <v>32</v>
      </c>
      <c r="B555" t="s">
        <v>28</v>
      </c>
      <c r="C555" s="1">
        <v>43161</v>
      </c>
      <c r="D555" t="s">
        <v>130</v>
      </c>
      <c r="E555">
        <v>1</v>
      </c>
      <c r="F555" s="12">
        <v>218</v>
      </c>
      <c r="G555">
        <v>1252</v>
      </c>
      <c r="H555" s="13">
        <v>272854.13</v>
      </c>
      <c r="I555" s="1">
        <v>43918</v>
      </c>
      <c r="J555">
        <v>3</v>
      </c>
      <c r="K555">
        <v>600</v>
      </c>
      <c r="L555">
        <v>57</v>
      </c>
      <c r="M555" t="s">
        <v>159</v>
      </c>
      <c r="N555" t="s">
        <v>154</v>
      </c>
    </row>
    <row r="556" spans="1:14" x14ac:dyDescent="0.25">
      <c r="A556" t="s">
        <v>73</v>
      </c>
      <c r="B556" t="s">
        <v>68</v>
      </c>
      <c r="C556" s="1">
        <v>43097</v>
      </c>
      <c r="D556" t="s">
        <v>130</v>
      </c>
      <c r="E556">
        <v>1</v>
      </c>
      <c r="F556" s="12">
        <v>218</v>
      </c>
      <c r="G556">
        <v>1634</v>
      </c>
      <c r="H556" s="13">
        <v>356130.13</v>
      </c>
      <c r="I556" s="1">
        <v>43537</v>
      </c>
      <c r="J556">
        <v>3</v>
      </c>
      <c r="K556">
        <v>31</v>
      </c>
      <c r="L556">
        <v>49</v>
      </c>
      <c r="M556" t="s">
        <v>163</v>
      </c>
      <c r="N556" t="s">
        <v>154</v>
      </c>
    </row>
    <row r="557" spans="1:14" x14ac:dyDescent="0.25">
      <c r="A557" t="s">
        <v>93</v>
      </c>
      <c r="B557" t="s">
        <v>94</v>
      </c>
      <c r="C557" s="1">
        <v>43618</v>
      </c>
      <c r="D557" t="s">
        <v>130</v>
      </c>
      <c r="E557">
        <v>1</v>
      </c>
      <c r="F557" s="12">
        <v>218</v>
      </c>
      <c r="G557">
        <v>733</v>
      </c>
      <c r="H557" s="13">
        <v>159712.13</v>
      </c>
      <c r="I557" s="1">
        <v>43815</v>
      </c>
      <c r="J557">
        <v>12</v>
      </c>
      <c r="K557">
        <v>437</v>
      </c>
      <c r="L557">
        <v>50</v>
      </c>
      <c r="M557" t="s">
        <v>163</v>
      </c>
      <c r="N557" t="s">
        <v>154</v>
      </c>
    </row>
    <row r="558" spans="1:14" x14ac:dyDescent="0.25">
      <c r="A558" t="s">
        <v>43</v>
      </c>
      <c r="B558" t="s">
        <v>37</v>
      </c>
      <c r="C558" s="1">
        <v>43490</v>
      </c>
      <c r="D558" t="s">
        <v>130</v>
      </c>
      <c r="E558">
        <v>1</v>
      </c>
      <c r="F558" s="12">
        <v>218</v>
      </c>
      <c r="G558">
        <v>744</v>
      </c>
      <c r="H558" s="13">
        <v>162110.13</v>
      </c>
      <c r="I558" s="1">
        <v>43896</v>
      </c>
      <c r="J558">
        <v>3</v>
      </c>
      <c r="K558">
        <v>251</v>
      </c>
      <c r="L558">
        <v>58</v>
      </c>
      <c r="M558" t="s">
        <v>159</v>
      </c>
      <c r="N558" t="s">
        <v>154</v>
      </c>
    </row>
    <row r="559" spans="1:14" x14ac:dyDescent="0.25">
      <c r="A559" t="s">
        <v>83</v>
      </c>
      <c r="B559" t="s">
        <v>84</v>
      </c>
      <c r="C559" s="1">
        <v>43427</v>
      </c>
      <c r="D559" t="s">
        <v>130</v>
      </c>
      <c r="E559">
        <v>1</v>
      </c>
      <c r="F559" s="12">
        <v>218</v>
      </c>
      <c r="G559">
        <v>1227</v>
      </c>
      <c r="H559" s="13">
        <v>267404.13</v>
      </c>
      <c r="I559" s="1">
        <v>43878</v>
      </c>
      <c r="J559">
        <v>2</v>
      </c>
      <c r="K559">
        <v>314</v>
      </c>
      <c r="L559">
        <v>60</v>
      </c>
      <c r="M559" t="s">
        <v>159</v>
      </c>
      <c r="N559" t="s">
        <v>154</v>
      </c>
    </row>
    <row r="560" spans="1:14" x14ac:dyDescent="0.25">
      <c r="A560" t="s">
        <v>63</v>
      </c>
      <c r="B560" t="s">
        <v>58</v>
      </c>
      <c r="C560" s="1">
        <v>43155</v>
      </c>
      <c r="D560" t="s">
        <v>130</v>
      </c>
      <c r="E560">
        <v>1</v>
      </c>
      <c r="F560" s="12">
        <v>218</v>
      </c>
      <c r="G560">
        <v>166</v>
      </c>
      <c r="H560" s="13">
        <v>36106.129999999997</v>
      </c>
      <c r="I560" s="1">
        <v>44114</v>
      </c>
      <c r="J560">
        <v>10</v>
      </c>
      <c r="K560">
        <v>263</v>
      </c>
      <c r="L560">
        <v>45</v>
      </c>
      <c r="M560" t="s">
        <v>162</v>
      </c>
      <c r="N560" t="s">
        <v>154</v>
      </c>
    </row>
    <row r="561" spans="1:14" x14ac:dyDescent="0.25">
      <c r="A561" t="s">
        <v>74</v>
      </c>
      <c r="B561" t="s">
        <v>69</v>
      </c>
      <c r="C561" s="1">
        <v>42228</v>
      </c>
      <c r="D561" t="s">
        <v>130</v>
      </c>
      <c r="E561">
        <v>1</v>
      </c>
      <c r="F561" s="12">
        <v>218</v>
      </c>
      <c r="G561">
        <v>263</v>
      </c>
      <c r="H561" s="13">
        <v>57252.13</v>
      </c>
      <c r="I561" s="1">
        <v>42596</v>
      </c>
      <c r="J561">
        <v>8</v>
      </c>
      <c r="K561">
        <v>276</v>
      </c>
      <c r="L561">
        <v>55</v>
      </c>
      <c r="M561" t="s">
        <v>156</v>
      </c>
      <c r="N561" t="s">
        <v>154</v>
      </c>
    </row>
    <row r="562" spans="1:14" x14ac:dyDescent="0.25">
      <c r="A562" t="s">
        <v>117</v>
      </c>
      <c r="B562" t="s">
        <v>111</v>
      </c>
      <c r="C562" s="1">
        <v>42729</v>
      </c>
      <c r="D562" t="s">
        <v>130</v>
      </c>
      <c r="E562">
        <v>1</v>
      </c>
      <c r="F562" s="12">
        <v>218</v>
      </c>
      <c r="G562">
        <v>757</v>
      </c>
      <c r="H562" s="13">
        <v>164944.13</v>
      </c>
      <c r="I562" s="1">
        <v>42933</v>
      </c>
      <c r="J562">
        <v>7</v>
      </c>
      <c r="K562">
        <v>355</v>
      </c>
      <c r="L562">
        <v>64</v>
      </c>
      <c r="M562" t="s">
        <v>157</v>
      </c>
      <c r="N562" t="s">
        <v>153</v>
      </c>
    </row>
    <row r="563" spans="1:14" x14ac:dyDescent="0.25">
      <c r="A563" t="s">
        <v>64</v>
      </c>
      <c r="B563" t="s">
        <v>59</v>
      </c>
      <c r="C563" s="1">
        <v>43153</v>
      </c>
      <c r="D563" t="s">
        <v>130</v>
      </c>
      <c r="E563">
        <v>1</v>
      </c>
      <c r="F563" s="12">
        <v>218</v>
      </c>
      <c r="G563">
        <v>277</v>
      </c>
      <c r="H563" s="13">
        <v>60304.13</v>
      </c>
      <c r="I563" s="1">
        <v>43657</v>
      </c>
      <c r="J563">
        <v>7</v>
      </c>
      <c r="K563">
        <v>385</v>
      </c>
      <c r="L563">
        <v>62</v>
      </c>
      <c r="M563" t="s">
        <v>157</v>
      </c>
      <c r="N563" t="s">
        <v>154</v>
      </c>
    </row>
    <row r="564" spans="1:14" x14ac:dyDescent="0.25">
      <c r="A564" t="s">
        <v>52</v>
      </c>
      <c r="B564" t="s">
        <v>50</v>
      </c>
      <c r="C564" s="1">
        <v>43917</v>
      </c>
      <c r="D564" t="s">
        <v>130</v>
      </c>
      <c r="E564">
        <v>1</v>
      </c>
      <c r="F564" s="12">
        <v>218</v>
      </c>
      <c r="G564">
        <v>650</v>
      </c>
      <c r="H564" s="13">
        <v>141618.13</v>
      </c>
      <c r="I564" s="1">
        <v>44109</v>
      </c>
      <c r="J564">
        <v>10</v>
      </c>
      <c r="K564">
        <v>35</v>
      </c>
      <c r="L564">
        <v>49</v>
      </c>
      <c r="M564" t="s">
        <v>163</v>
      </c>
      <c r="N564" t="s">
        <v>154</v>
      </c>
    </row>
    <row r="565" spans="1:14" x14ac:dyDescent="0.25">
      <c r="A565" t="s">
        <v>91</v>
      </c>
      <c r="B565" t="s">
        <v>87</v>
      </c>
      <c r="C565" s="1">
        <v>43557</v>
      </c>
      <c r="D565" t="s">
        <v>130</v>
      </c>
      <c r="E565">
        <v>1</v>
      </c>
      <c r="F565" s="12">
        <v>218</v>
      </c>
      <c r="G565">
        <v>479</v>
      </c>
      <c r="H565" s="13">
        <v>104340.13</v>
      </c>
      <c r="I565" s="1">
        <v>43725</v>
      </c>
      <c r="J565">
        <v>9</v>
      </c>
      <c r="K565">
        <v>389</v>
      </c>
      <c r="L565">
        <v>55</v>
      </c>
      <c r="M565" t="s">
        <v>156</v>
      </c>
      <c r="N565" t="s">
        <v>154</v>
      </c>
    </row>
    <row r="566" spans="1:14" x14ac:dyDescent="0.25">
      <c r="A566" t="s">
        <v>41</v>
      </c>
      <c r="B566" t="s">
        <v>36</v>
      </c>
      <c r="C566" s="1">
        <v>42880</v>
      </c>
      <c r="D566" t="s">
        <v>130</v>
      </c>
      <c r="E566">
        <v>1</v>
      </c>
      <c r="F566" s="12">
        <v>218</v>
      </c>
      <c r="G566">
        <v>406</v>
      </c>
      <c r="H566" s="13">
        <v>88426.13</v>
      </c>
      <c r="I566" s="1">
        <v>43247</v>
      </c>
      <c r="J566">
        <v>5</v>
      </c>
      <c r="K566">
        <v>272</v>
      </c>
      <c r="L566">
        <v>57</v>
      </c>
      <c r="M566" t="s">
        <v>159</v>
      </c>
      <c r="N566" t="s">
        <v>153</v>
      </c>
    </row>
    <row r="567" spans="1:14" x14ac:dyDescent="0.25">
      <c r="A567" t="s">
        <v>92</v>
      </c>
      <c r="B567" t="s">
        <v>88</v>
      </c>
      <c r="C567" s="1">
        <v>42660</v>
      </c>
      <c r="D567" t="s">
        <v>130</v>
      </c>
      <c r="E567">
        <v>1</v>
      </c>
      <c r="F567" s="12">
        <v>218</v>
      </c>
      <c r="G567">
        <v>674</v>
      </c>
      <c r="H567" s="13">
        <v>146850.13</v>
      </c>
      <c r="I567" s="1">
        <v>43367</v>
      </c>
      <c r="J567">
        <v>9</v>
      </c>
      <c r="K567">
        <v>43</v>
      </c>
      <c r="L567">
        <v>60</v>
      </c>
      <c r="M567" t="s">
        <v>159</v>
      </c>
      <c r="N567" t="s">
        <v>153</v>
      </c>
    </row>
    <row r="568" spans="1:14" x14ac:dyDescent="0.25">
      <c r="A568" t="s">
        <v>74</v>
      </c>
      <c r="B568" t="s">
        <v>69</v>
      </c>
      <c r="C568" s="1">
        <v>42228</v>
      </c>
      <c r="D568" t="s">
        <v>130</v>
      </c>
      <c r="E568">
        <v>1</v>
      </c>
      <c r="F568" s="12">
        <v>218</v>
      </c>
      <c r="G568">
        <v>582</v>
      </c>
      <c r="H568" s="13">
        <v>126794.13</v>
      </c>
      <c r="I568" s="1">
        <v>42630</v>
      </c>
      <c r="J568">
        <v>9</v>
      </c>
      <c r="K568">
        <v>535</v>
      </c>
      <c r="L568">
        <v>59</v>
      </c>
      <c r="M568" t="s">
        <v>159</v>
      </c>
      <c r="N568" t="s">
        <v>154</v>
      </c>
    </row>
    <row r="569" spans="1:14" x14ac:dyDescent="0.25">
      <c r="A569" t="s">
        <v>32</v>
      </c>
      <c r="B569" t="s">
        <v>28</v>
      </c>
      <c r="C569" s="1">
        <v>43161</v>
      </c>
      <c r="D569" t="s">
        <v>130</v>
      </c>
      <c r="E569">
        <v>1</v>
      </c>
      <c r="F569" s="12">
        <v>218</v>
      </c>
      <c r="G569">
        <v>1332</v>
      </c>
      <c r="H569" s="13">
        <v>290294.13</v>
      </c>
      <c r="I569" s="1">
        <v>43566</v>
      </c>
      <c r="J569">
        <v>4</v>
      </c>
      <c r="K569">
        <v>228</v>
      </c>
      <c r="L569">
        <v>37</v>
      </c>
      <c r="M569" t="s">
        <v>161</v>
      </c>
      <c r="N569" t="s">
        <v>153</v>
      </c>
    </row>
    <row r="570" spans="1:14" x14ac:dyDescent="0.25">
      <c r="A570" t="s">
        <v>42</v>
      </c>
      <c r="B570" t="s">
        <v>1</v>
      </c>
      <c r="C570" s="1">
        <v>43712</v>
      </c>
      <c r="D570" t="s">
        <v>130</v>
      </c>
      <c r="E570">
        <v>1</v>
      </c>
      <c r="F570" s="12">
        <v>218</v>
      </c>
      <c r="G570">
        <v>387</v>
      </c>
      <c r="H570" s="13">
        <v>84284.13</v>
      </c>
      <c r="I570" s="1">
        <v>43955</v>
      </c>
      <c r="J570">
        <v>5</v>
      </c>
      <c r="K570">
        <v>421</v>
      </c>
      <c r="L570">
        <v>51</v>
      </c>
      <c r="M570" t="s">
        <v>156</v>
      </c>
      <c r="N570" t="s">
        <v>154</v>
      </c>
    </row>
    <row r="571" spans="1:14" x14ac:dyDescent="0.25">
      <c r="A571" t="s">
        <v>83</v>
      </c>
      <c r="B571" t="s">
        <v>84</v>
      </c>
      <c r="C571" s="1">
        <v>43427</v>
      </c>
      <c r="D571" t="s">
        <v>130</v>
      </c>
      <c r="E571">
        <v>1</v>
      </c>
      <c r="F571" s="12">
        <v>218</v>
      </c>
      <c r="G571">
        <v>433</v>
      </c>
      <c r="H571" s="13">
        <v>94312.13</v>
      </c>
      <c r="I571" s="1">
        <v>43697</v>
      </c>
      <c r="J571">
        <v>8</v>
      </c>
      <c r="K571">
        <v>515</v>
      </c>
      <c r="L571">
        <v>37</v>
      </c>
      <c r="M571" t="s">
        <v>161</v>
      </c>
      <c r="N571" t="s">
        <v>153</v>
      </c>
    </row>
    <row r="572" spans="1:14" x14ac:dyDescent="0.25">
      <c r="A572" t="s">
        <v>97</v>
      </c>
      <c r="B572" t="s">
        <v>98</v>
      </c>
      <c r="C572" s="1">
        <v>42388</v>
      </c>
      <c r="D572" t="s">
        <v>130</v>
      </c>
      <c r="E572">
        <v>1</v>
      </c>
      <c r="F572" s="12">
        <v>218</v>
      </c>
      <c r="G572">
        <v>591</v>
      </c>
      <c r="H572" s="13">
        <v>128756.13</v>
      </c>
      <c r="I572" s="1">
        <v>43113</v>
      </c>
      <c r="J572">
        <v>1</v>
      </c>
      <c r="K572">
        <v>594</v>
      </c>
      <c r="L572">
        <v>55</v>
      </c>
      <c r="M572" t="s">
        <v>156</v>
      </c>
      <c r="N572" t="s">
        <v>154</v>
      </c>
    </row>
    <row r="573" spans="1:14" x14ac:dyDescent="0.25">
      <c r="A573" t="s">
        <v>31</v>
      </c>
      <c r="B573" t="s">
        <v>27</v>
      </c>
      <c r="C573" s="1">
        <v>42433</v>
      </c>
      <c r="D573" t="s">
        <v>130</v>
      </c>
      <c r="E573">
        <v>1</v>
      </c>
      <c r="F573" s="12">
        <v>218</v>
      </c>
      <c r="G573">
        <v>231</v>
      </c>
      <c r="H573" s="13">
        <v>50276.13</v>
      </c>
      <c r="I573" s="1">
        <v>43681</v>
      </c>
      <c r="J573">
        <v>8</v>
      </c>
      <c r="K573">
        <v>565</v>
      </c>
      <c r="L573">
        <v>63</v>
      </c>
      <c r="M573" t="s">
        <v>157</v>
      </c>
      <c r="N573" t="s">
        <v>153</v>
      </c>
    </row>
    <row r="574" spans="1:14" x14ac:dyDescent="0.25">
      <c r="A574" t="s">
        <v>44</v>
      </c>
      <c r="B574" t="s">
        <v>2</v>
      </c>
      <c r="C574" s="1">
        <v>42641</v>
      </c>
      <c r="D574" t="s">
        <v>130</v>
      </c>
      <c r="E574">
        <v>1</v>
      </c>
      <c r="F574" s="12">
        <v>218</v>
      </c>
      <c r="G574">
        <v>262</v>
      </c>
      <c r="H574" s="13">
        <v>57034.13</v>
      </c>
      <c r="I574" s="1">
        <v>42759</v>
      </c>
      <c r="J574">
        <v>1</v>
      </c>
      <c r="K574">
        <v>375</v>
      </c>
      <c r="L574">
        <v>54</v>
      </c>
      <c r="M574" t="s">
        <v>156</v>
      </c>
      <c r="N574" t="s">
        <v>153</v>
      </c>
    </row>
    <row r="575" spans="1:14" x14ac:dyDescent="0.25">
      <c r="A575" t="s">
        <v>74</v>
      </c>
      <c r="B575" t="s">
        <v>69</v>
      </c>
      <c r="C575" s="1">
        <v>42228</v>
      </c>
      <c r="D575" t="s">
        <v>130</v>
      </c>
      <c r="E575">
        <v>1</v>
      </c>
      <c r="F575" s="12">
        <v>218</v>
      </c>
      <c r="G575">
        <v>200</v>
      </c>
      <c r="H575" s="13">
        <v>43518.13</v>
      </c>
      <c r="I575" s="1">
        <v>44428</v>
      </c>
      <c r="J575">
        <v>8</v>
      </c>
      <c r="K575">
        <v>166</v>
      </c>
      <c r="L575">
        <v>65</v>
      </c>
      <c r="M575" t="s">
        <v>157</v>
      </c>
      <c r="N575" t="s">
        <v>154</v>
      </c>
    </row>
    <row r="576" spans="1:14" x14ac:dyDescent="0.25">
      <c r="A576" t="s">
        <v>46</v>
      </c>
      <c r="B576" t="s">
        <v>39</v>
      </c>
      <c r="C576" s="1">
        <v>43490</v>
      </c>
      <c r="D576" t="s">
        <v>130</v>
      </c>
      <c r="E576">
        <v>1</v>
      </c>
      <c r="F576" s="12">
        <v>218</v>
      </c>
      <c r="G576">
        <v>427</v>
      </c>
      <c r="H576" s="13">
        <v>93004.13</v>
      </c>
      <c r="I576" s="1">
        <v>44156</v>
      </c>
      <c r="J576">
        <v>11</v>
      </c>
      <c r="K576">
        <v>311</v>
      </c>
      <c r="L576">
        <v>63</v>
      </c>
      <c r="M576" t="s">
        <v>157</v>
      </c>
      <c r="N576" t="s">
        <v>154</v>
      </c>
    </row>
    <row r="577" spans="1:14" x14ac:dyDescent="0.25">
      <c r="A577" t="s">
        <v>82</v>
      </c>
      <c r="B577" t="s">
        <v>79</v>
      </c>
      <c r="C577" s="1">
        <v>43278</v>
      </c>
      <c r="D577" t="s">
        <v>130</v>
      </c>
      <c r="E577">
        <v>1</v>
      </c>
      <c r="F577" s="12">
        <v>218</v>
      </c>
      <c r="G577">
        <v>671</v>
      </c>
      <c r="H577" s="13">
        <v>146196.13</v>
      </c>
      <c r="I577" s="1">
        <v>43911</v>
      </c>
      <c r="J577">
        <v>3</v>
      </c>
      <c r="K577">
        <v>186</v>
      </c>
      <c r="L577">
        <v>65</v>
      </c>
      <c r="M577" t="s">
        <v>157</v>
      </c>
      <c r="N577" t="s">
        <v>153</v>
      </c>
    </row>
    <row r="578" spans="1:14" x14ac:dyDescent="0.25">
      <c r="A578" t="s">
        <v>115</v>
      </c>
      <c r="B578" t="s">
        <v>109</v>
      </c>
      <c r="C578" s="1">
        <v>43357</v>
      </c>
      <c r="D578" t="s">
        <v>130</v>
      </c>
      <c r="E578">
        <v>1</v>
      </c>
      <c r="F578" s="12">
        <v>218</v>
      </c>
      <c r="G578">
        <v>670</v>
      </c>
      <c r="H578" s="13">
        <v>145978.13</v>
      </c>
      <c r="I578" s="1">
        <v>43591</v>
      </c>
      <c r="J578">
        <v>5</v>
      </c>
      <c r="K578">
        <v>490</v>
      </c>
      <c r="L578">
        <v>62</v>
      </c>
      <c r="M578" t="s">
        <v>157</v>
      </c>
      <c r="N578" t="s">
        <v>154</v>
      </c>
    </row>
    <row r="579" spans="1:14" x14ac:dyDescent="0.25">
      <c r="A579" t="s">
        <v>61</v>
      </c>
      <c r="B579" t="s">
        <v>56</v>
      </c>
      <c r="C579" s="1">
        <v>42607</v>
      </c>
      <c r="D579" t="s">
        <v>130</v>
      </c>
      <c r="E579">
        <v>1</v>
      </c>
      <c r="F579" s="12">
        <v>218</v>
      </c>
      <c r="G579">
        <v>392</v>
      </c>
      <c r="H579" s="13">
        <v>85374.13</v>
      </c>
      <c r="I579" s="1">
        <v>44336</v>
      </c>
      <c r="J579">
        <v>5</v>
      </c>
      <c r="K579">
        <v>461</v>
      </c>
      <c r="L579">
        <v>55</v>
      </c>
      <c r="M579" t="s">
        <v>156</v>
      </c>
      <c r="N579" t="s">
        <v>154</v>
      </c>
    </row>
    <row r="580" spans="1:14" x14ac:dyDescent="0.25">
      <c r="A580" t="s">
        <v>63</v>
      </c>
      <c r="B580" t="s">
        <v>58</v>
      </c>
      <c r="C580" s="1">
        <v>43155</v>
      </c>
      <c r="D580" t="s">
        <v>130</v>
      </c>
      <c r="E580">
        <v>1</v>
      </c>
      <c r="F580" s="12">
        <v>218</v>
      </c>
      <c r="G580">
        <v>295</v>
      </c>
      <c r="H580" s="13">
        <v>64228.13</v>
      </c>
      <c r="I580" s="1">
        <v>43231</v>
      </c>
      <c r="J580">
        <v>5</v>
      </c>
      <c r="K580">
        <v>395</v>
      </c>
      <c r="L580">
        <v>52</v>
      </c>
      <c r="M580" t="s">
        <v>156</v>
      </c>
      <c r="N580" t="s">
        <v>154</v>
      </c>
    </row>
    <row r="581" spans="1:14" x14ac:dyDescent="0.25">
      <c r="A581" t="s">
        <v>74</v>
      </c>
      <c r="B581" t="s">
        <v>69</v>
      </c>
      <c r="C581" s="1">
        <v>42228</v>
      </c>
      <c r="D581" t="s">
        <v>130</v>
      </c>
      <c r="E581">
        <v>1</v>
      </c>
      <c r="F581" s="12">
        <v>218</v>
      </c>
      <c r="G581">
        <v>1152</v>
      </c>
      <c r="H581" s="13">
        <v>251054.13</v>
      </c>
      <c r="I581" s="1">
        <v>43193</v>
      </c>
      <c r="J581">
        <v>4</v>
      </c>
      <c r="K581">
        <v>393</v>
      </c>
      <c r="L581">
        <v>25</v>
      </c>
      <c r="M581" t="s">
        <v>160</v>
      </c>
      <c r="N581" t="s">
        <v>153</v>
      </c>
    </row>
    <row r="582" spans="1:14" x14ac:dyDescent="0.25">
      <c r="A582" t="s">
        <v>35</v>
      </c>
      <c r="B582" t="s">
        <v>3</v>
      </c>
      <c r="C582" s="1">
        <v>42465</v>
      </c>
      <c r="D582" t="s">
        <v>130</v>
      </c>
      <c r="E582">
        <v>1</v>
      </c>
      <c r="F582" s="12">
        <v>218</v>
      </c>
      <c r="G582">
        <v>1328</v>
      </c>
      <c r="H582" s="13">
        <v>289422.13</v>
      </c>
      <c r="I582" s="1">
        <v>43510</v>
      </c>
      <c r="J582">
        <v>2</v>
      </c>
      <c r="K582">
        <v>233</v>
      </c>
      <c r="L582">
        <v>60</v>
      </c>
      <c r="M582" t="s">
        <v>159</v>
      </c>
      <c r="N582" t="s">
        <v>154</v>
      </c>
    </row>
    <row r="583" spans="1:14" x14ac:dyDescent="0.25">
      <c r="A583" t="s">
        <v>104</v>
      </c>
      <c r="B583" t="s">
        <v>101</v>
      </c>
      <c r="C583" s="1">
        <v>43296</v>
      </c>
      <c r="D583" t="s">
        <v>130</v>
      </c>
      <c r="E583">
        <v>1</v>
      </c>
      <c r="F583" s="12">
        <v>218</v>
      </c>
      <c r="G583">
        <v>236</v>
      </c>
      <c r="H583" s="13">
        <v>51366.13</v>
      </c>
      <c r="I583" s="1">
        <v>43321</v>
      </c>
      <c r="J583">
        <v>8</v>
      </c>
      <c r="K583">
        <v>411</v>
      </c>
      <c r="L583">
        <v>22</v>
      </c>
      <c r="M583" t="s">
        <v>160</v>
      </c>
      <c r="N583" t="s">
        <v>153</v>
      </c>
    </row>
    <row r="584" spans="1:14" x14ac:dyDescent="0.25">
      <c r="A584" t="s">
        <v>40</v>
      </c>
      <c r="B584" t="s">
        <v>0</v>
      </c>
      <c r="C584" s="1">
        <v>43287</v>
      </c>
      <c r="D584" t="s">
        <v>130</v>
      </c>
      <c r="E584">
        <v>1</v>
      </c>
      <c r="F584" s="12">
        <v>218</v>
      </c>
      <c r="G584">
        <v>297</v>
      </c>
      <c r="H584" s="13">
        <v>64664.13</v>
      </c>
      <c r="I584" s="1">
        <v>44401</v>
      </c>
      <c r="J584">
        <v>7</v>
      </c>
      <c r="K584">
        <v>147</v>
      </c>
      <c r="L584">
        <v>47</v>
      </c>
      <c r="M584" t="s">
        <v>163</v>
      </c>
      <c r="N584" t="s">
        <v>153</v>
      </c>
    </row>
    <row r="585" spans="1:14" x14ac:dyDescent="0.25">
      <c r="A585" t="s">
        <v>33</v>
      </c>
      <c r="B585" t="s">
        <v>29</v>
      </c>
      <c r="C585" s="1">
        <v>42795</v>
      </c>
      <c r="D585" t="s">
        <v>130</v>
      </c>
      <c r="E585">
        <v>1</v>
      </c>
      <c r="F585" s="12">
        <v>218</v>
      </c>
      <c r="G585">
        <v>1649</v>
      </c>
      <c r="H585" s="13">
        <v>359400.13</v>
      </c>
      <c r="I585" s="1">
        <v>43908</v>
      </c>
      <c r="J585">
        <v>3</v>
      </c>
      <c r="K585">
        <v>47</v>
      </c>
      <c r="L585">
        <v>60</v>
      </c>
      <c r="M585" t="s">
        <v>159</v>
      </c>
      <c r="N585" t="s">
        <v>154</v>
      </c>
    </row>
    <row r="586" spans="1:14" x14ac:dyDescent="0.25">
      <c r="A586" t="s">
        <v>105</v>
      </c>
      <c r="B586" t="s">
        <v>106</v>
      </c>
      <c r="C586" s="1">
        <v>43451</v>
      </c>
      <c r="D586" t="s">
        <v>130</v>
      </c>
      <c r="E586">
        <v>1</v>
      </c>
      <c r="F586" s="12">
        <v>218</v>
      </c>
      <c r="G586">
        <v>800</v>
      </c>
      <c r="H586" s="13">
        <v>174318.13</v>
      </c>
      <c r="I586" s="1">
        <v>43554</v>
      </c>
      <c r="J586">
        <v>3</v>
      </c>
      <c r="K586">
        <v>180</v>
      </c>
      <c r="L586">
        <v>60</v>
      </c>
      <c r="M586" t="s">
        <v>159</v>
      </c>
      <c r="N586" t="s">
        <v>154</v>
      </c>
    </row>
    <row r="587" spans="1:14" x14ac:dyDescent="0.25">
      <c r="A587" t="s">
        <v>33</v>
      </c>
      <c r="B587" t="s">
        <v>29</v>
      </c>
      <c r="C587" s="1">
        <v>42795</v>
      </c>
      <c r="D587" t="s">
        <v>130</v>
      </c>
      <c r="E587">
        <v>1</v>
      </c>
      <c r="F587" s="12">
        <v>218</v>
      </c>
      <c r="G587">
        <v>1698</v>
      </c>
      <c r="H587" s="13">
        <v>370082.13</v>
      </c>
      <c r="I587" s="1">
        <v>43155</v>
      </c>
      <c r="J587">
        <v>2</v>
      </c>
      <c r="K587">
        <v>554</v>
      </c>
      <c r="L587">
        <v>35</v>
      </c>
      <c r="M587" t="s">
        <v>164</v>
      </c>
      <c r="N587" t="s">
        <v>153</v>
      </c>
    </row>
    <row r="588" spans="1:14" x14ac:dyDescent="0.25">
      <c r="A588" t="s">
        <v>72</v>
      </c>
      <c r="B588" t="s">
        <v>67</v>
      </c>
      <c r="C588" s="1">
        <v>43827</v>
      </c>
      <c r="D588" t="s">
        <v>130</v>
      </c>
      <c r="E588">
        <v>1</v>
      </c>
      <c r="F588" s="12">
        <v>218</v>
      </c>
      <c r="G588">
        <v>787</v>
      </c>
      <c r="H588" s="13">
        <v>171484.13</v>
      </c>
      <c r="I588" s="1">
        <v>44371</v>
      </c>
      <c r="J588">
        <v>6</v>
      </c>
      <c r="K588">
        <v>456</v>
      </c>
      <c r="L588">
        <v>59</v>
      </c>
      <c r="M588" t="s">
        <v>159</v>
      </c>
      <c r="N588" t="s">
        <v>154</v>
      </c>
    </row>
    <row r="589" spans="1:14" x14ac:dyDescent="0.25">
      <c r="A589" t="s">
        <v>104</v>
      </c>
      <c r="B589" t="s">
        <v>101</v>
      </c>
      <c r="C589" s="1">
        <v>43296</v>
      </c>
      <c r="D589" t="s">
        <v>130</v>
      </c>
      <c r="E589">
        <v>1</v>
      </c>
      <c r="F589" s="12">
        <v>218</v>
      </c>
      <c r="G589">
        <v>1863</v>
      </c>
      <c r="H589" s="13">
        <v>406052.13</v>
      </c>
      <c r="I589" s="1">
        <v>44249</v>
      </c>
      <c r="J589">
        <v>2</v>
      </c>
      <c r="K589">
        <v>22</v>
      </c>
      <c r="L589">
        <v>58</v>
      </c>
      <c r="M589" t="s">
        <v>159</v>
      </c>
      <c r="N589" t="s">
        <v>153</v>
      </c>
    </row>
    <row r="590" spans="1:14" x14ac:dyDescent="0.25">
      <c r="A590" t="s">
        <v>51</v>
      </c>
      <c r="B590" t="s">
        <v>49</v>
      </c>
      <c r="C590" s="1">
        <v>42394</v>
      </c>
      <c r="D590" t="s">
        <v>130</v>
      </c>
      <c r="E590">
        <v>1</v>
      </c>
      <c r="F590" s="12">
        <v>218</v>
      </c>
      <c r="G590">
        <v>567</v>
      </c>
      <c r="H590" s="13">
        <v>123524.13</v>
      </c>
      <c r="I590" s="1">
        <v>42956</v>
      </c>
      <c r="J590">
        <v>8</v>
      </c>
      <c r="K590">
        <v>249</v>
      </c>
      <c r="L590">
        <v>46</v>
      </c>
      <c r="M590" t="s">
        <v>163</v>
      </c>
      <c r="N590" t="s">
        <v>154</v>
      </c>
    </row>
    <row r="591" spans="1:14" x14ac:dyDescent="0.25">
      <c r="A591" t="s">
        <v>43</v>
      </c>
      <c r="B591" t="s">
        <v>37</v>
      </c>
      <c r="C591" s="1">
        <v>43490</v>
      </c>
      <c r="D591" t="s">
        <v>130</v>
      </c>
      <c r="E591">
        <v>1</v>
      </c>
      <c r="F591" s="12">
        <v>218</v>
      </c>
      <c r="G591">
        <v>1393</v>
      </c>
      <c r="H591" s="13">
        <v>303592.13</v>
      </c>
      <c r="I591" s="1">
        <v>43900</v>
      </c>
      <c r="J591">
        <v>3</v>
      </c>
      <c r="K591">
        <v>97</v>
      </c>
      <c r="L591">
        <v>26</v>
      </c>
      <c r="M591" t="s">
        <v>158</v>
      </c>
      <c r="N591" t="s">
        <v>154</v>
      </c>
    </row>
    <row r="592" spans="1:14" x14ac:dyDescent="0.25">
      <c r="A592" t="s">
        <v>34</v>
      </c>
      <c r="B592" t="s">
        <v>30</v>
      </c>
      <c r="C592" s="1">
        <v>43765</v>
      </c>
      <c r="D592" t="s">
        <v>130</v>
      </c>
      <c r="E592">
        <v>1</v>
      </c>
      <c r="F592" s="12">
        <v>218</v>
      </c>
      <c r="G592">
        <v>1453</v>
      </c>
      <c r="H592" s="13">
        <v>316724.53000000003</v>
      </c>
      <c r="I592" s="1">
        <v>43938</v>
      </c>
      <c r="J592">
        <v>4</v>
      </c>
      <c r="K592">
        <v>129</v>
      </c>
      <c r="L592">
        <v>20</v>
      </c>
      <c r="M592" t="s">
        <v>160</v>
      </c>
      <c r="N592" t="s">
        <v>154</v>
      </c>
    </row>
    <row r="593" spans="1:14" x14ac:dyDescent="0.25">
      <c r="A593" t="s">
        <v>53</v>
      </c>
      <c r="B593" t="s">
        <v>54</v>
      </c>
      <c r="C593" s="1">
        <v>42816</v>
      </c>
      <c r="D593" t="s">
        <v>131</v>
      </c>
      <c r="E593">
        <v>2</v>
      </c>
      <c r="F593" s="12">
        <v>116</v>
      </c>
      <c r="G593">
        <v>757</v>
      </c>
      <c r="H593" s="13">
        <v>87782.53</v>
      </c>
      <c r="I593" s="1">
        <v>43409</v>
      </c>
      <c r="J593">
        <v>11</v>
      </c>
      <c r="K593">
        <v>96</v>
      </c>
      <c r="L593">
        <v>51</v>
      </c>
      <c r="M593" t="s">
        <v>156</v>
      </c>
      <c r="N593" t="s">
        <v>154</v>
      </c>
    </row>
    <row r="594" spans="1:14" x14ac:dyDescent="0.25">
      <c r="A594" t="s">
        <v>105</v>
      </c>
      <c r="B594" t="s">
        <v>106</v>
      </c>
      <c r="C594" s="1">
        <v>43451</v>
      </c>
      <c r="D594" t="s">
        <v>131</v>
      </c>
      <c r="E594">
        <v>2</v>
      </c>
      <c r="F594" s="12">
        <v>116</v>
      </c>
      <c r="G594">
        <v>751</v>
      </c>
      <c r="H594" s="13">
        <v>87086.53</v>
      </c>
      <c r="I594" s="1">
        <v>44122</v>
      </c>
      <c r="J594">
        <v>10</v>
      </c>
      <c r="K594">
        <v>376</v>
      </c>
      <c r="L594">
        <v>53</v>
      </c>
      <c r="M594" t="s">
        <v>156</v>
      </c>
      <c r="N594" t="s">
        <v>154</v>
      </c>
    </row>
    <row r="595" spans="1:14" x14ac:dyDescent="0.25">
      <c r="A595" t="s">
        <v>97</v>
      </c>
      <c r="B595" t="s">
        <v>98</v>
      </c>
      <c r="C595" s="1">
        <v>42388</v>
      </c>
      <c r="D595" t="s">
        <v>131</v>
      </c>
      <c r="E595">
        <v>2</v>
      </c>
      <c r="F595" s="12">
        <v>116</v>
      </c>
      <c r="G595">
        <v>576</v>
      </c>
      <c r="H595" s="13">
        <v>66786.53</v>
      </c>
      <c r="I595" s="1">
        <v>43854</v>
      </c>
      <c r="J595">
        <v>1</v>
      </c>
      <c r="K595">
        <v>141</v>
      </c>
      <c r="L595">
        <v>38</v>
      </c>
      <c r="M595" t="s">
        <v>161</v>
      </c>
      <c r="N595" t="s">
        <v>153</v>
      </c>
    </row>
    <row r="596" spans="1:14" x14ac:dyDescent="0.25">
      <c r="A596" t="s">
        <v>44</v>
      </c>
      <c r="B596" t="s">
        <v>2</v>
      </c>
      <c r="C596" s="1">
        <v>42641</v>
      </c>
      <c r="D596" t="s">
        <v>131</v>
      </c>
      <c r="E596">
        <v>2</v>
      </c>
      <c r="F596" s="12">
        <v>116</v>
      </c>
      <c r="G596">
        <v>751</v>
      </c>
      <c r="H596" s="13">
        <v>87086.53</v>
      </c>
      <c r="I596" s="1">
        <v>43113</v>
      </c>
      <c r="J596">
        <v>1</v>
      </c>
      <c r="K596">
        <v>288</v>
      </c>
      <c r="L596">
        <v>49</v>
      </c>
      <c r="M596" t="s">
        <v>163</v>
      </c>
      <c r="N596" t="s">
        <v>154</v>
      </c>
    </row>
    <row r="597" spans="1:14" x14ac:dyDescent="0.25">
      <c r="A597" t="s">
        <v>91</v>
      </c>
      <c r="B597" t="s">
        <v>87</v>
      </c>
      <c r="C597" s="1">
        <v>43557</v>
      </c>
      <c r="D597" t="s">
        <v>131</v>
      </c>
      <c r="E597">
        <v>2</v>
      </c>
      <c r="F597" s="12">
        <v>116</v>
      </c>
      <c r="G597">
        <v>253</v>
      </c>
      <c r="H597" s="13">
        <v>29318.53</v>
      </c>
      <c r="I597" s="1">
        <v>44389</v>
      </c>
      <c r="J597">
        <v>7</v>
      </c>
      <c r="K597">
        <v>69</v>
      </c>
      <c r="L597">
        <v>56</v>
      </c>
      <c r="M597" t="s">
        <v>159</v>
      </c>
      <c r="N597" t="s">
        <v>153</v>
      </c>
    </row>
    <row r="598" spans="1:14" x14ac:dyDescent="0.25">
      <c r="A598" t="s">
        <v>53</v>
      </c>
      <c r="B598" t="s">
        <v>54</v>
      </c>
      <c r="C598" s="1">
        <v>42816</v>
      </c>
      <c r="D598" t="s">
        <v>131</v>
      </c>
      <c r="E598">
        <v>2</v>
      </c>
      <c r="F598" s="12">
        <v>116</v>
      </c>
      <c r="G598">
        <v>249</v>
      </c>
      <c r="H598" s="13">
        <v>28854.53</v>
      </c>
      <c r="I598" s="1">
        <v>43834</v>
      </c>
      <c r="J598">
        <v>1</v>
      </c>
      <c r="K598">
        <v>283</v>
      </c>
      <c r="L598">
        <v>34</v>
      </c>
      <c r="M598" t="s">
        <v>164</v>
      </c>
      <c r="N598" t="s">
        <v>154</v>
      </c>
    </row>
    <row r="599" spans="1:14" x14ac:dyDescent="0.25">
      <c r="A599" t="s">
        <v>97</v>
      </c>
      <c r="B599" t="s">
        <v>98</v>
      </c>
      <c r="C599" s="1">
        <v>42388</v>
      </c>
      <c r="D599" t="s">
        <v>131</v>
      </c>
      <c r="E599">
        <v>2</v>
      </c>
      <c r="F599" s="12">
        <v>116</v>
      </c>
      <c r="G599">
        <v>881</v>
      </c>
      <c r="H599" s="13">
        <v>102166.53</v>
      </c>
      <c r="I599" s="1">
        <v>44252</v>
      </c>
      <c r="J599">
        <v>2</v>
      </c>
      <c r="K599">
        <v>211</v>
      </c>
      <c r="L599">
        <v>45</v>
      </c>
      <c r="M599" t="s">
        <v>162</v>
      </c>
      <c r="N599" t="s">
        <v>154</v>
      </c>
    </row>
    <row r="600" spans="1:14" x14ac:dyDescent="0.25">
      <c r="A600" t="s">
        <v>89</v>
      </c>
      <c r="B600" t="s">
        <v>85</v>
      </c>
      <c r="C600" s="1">
        <v>43093</v>
      </c>
      <c r="D600" t="s">
        <v>131</v>
      </c>
      <c r="E600">
        <v>2</v>
      </c>
      <c r="F600" s="12">
        <v>116</v>
      </c>
      <c r="G600">
        <v>1850</v>
      </c>
      <c r="H600" s="13">
        <v>214570.53</v>
      </c>
      <c r="I600" s="1">
        <v>43933</v>
      </c>
      <c r="J600">
        <v>4</v>
      </c>
      <c r="K600">
        <v>218</v>
      </c>
      <c r="L600">
        <v>47</v>
      </c>
      <c r="M600" t="s">
        <v>163</v>
      </c>
      <c r="N600" t="s">
        <v>154</v>
      </c>
    </row>
    <row r="601" spans="1:14" x14ac:dyDescent="0.25">
      <c r="A601" t="s">
        <v>83</v>
      </c>
      <c r="B601" t="s">
        <v>84</v>
      </c>
      <c r="C601" s="1">
        <v>43427</v>
      </c>
      <c r="D601" t="s">
        <v>131</v>
      </c>
      <c r="E601">
        <v>2</v>
      </c>
      <c r="F601" s="12">
        <v>116</v>
      </c>
      <c r="G601">
        <v>393</v>
      </c>
      <c r="H601" s="13">
        <v>45558.53</v>
      </c>
      <c r="I601" s="1">
        <v>44124</v>
      </c>
      <c r="J601">
        <v>10</v>
      </c>
      <c r="K601">
        <v>175</v>
      </c>
      <c r="L601">
        <v>53</v>
      </c>
      <c r="M601" t="s">
        <v>156</v>
      </c>
      <c r="N601" t="s">
        <v>154</v>
      </c>
    </row>
    <row r="602" spans="1:14" x14ac:dyDescent="0.25">
      <c r="A602" t="s">
        <v>43</v>
      </c>
      <c r="B602" t="s">
        <v>37</v>
      </c>
      <c r="C602" s="1">
        <v>43490</v>
      </c>
      <c r="D602" t="s">
        <v>131</v>
      </c>
      <c r="E602">
        <v>2</v>
      </c>
      <c r="F602" s="12">
        <v>116</v>
      </c>
      <c r="G602">
        <v>1364</v>
      </c>
      <c r="H602" s="13">
        <v>158194.53</v>
      </c>
      <c r="I602" s="1">
        <v>44247</v>
      </c>
      <c r="J602">
        <v>2</v>
      </c>
      <c r="K602">
        <v>439</v>
      </c>
      <c r="L602">
        <v>51</v>
      </c>
      <c r="M602" t="s">
        <v>156</v>
      </c>
      <c r="N602" t="s">
        <v>154</v>
      </c>
    </row>
    <row r="603" spans="1:14" x14ac:dyDescent="0.25">
      <c r="A603" t="s">
        <v>62</v>
      </c>
      <c r="B603" t="s">
        <v>57</v>
      </c>
      <c r="C603" s="1">
        <v>43724</v>
      </c>
      <c r="D603" t="s">
        <v>131</v>
      </c>
      <c r="E603">
        <v>2</v>
      </c>
      <c r="F603" s="12">
        <v>116</v>
      </c>
      <c r="G603">
        <v>158</v>
      </c>
      <c r="H603" s="13">
        <v>18298.53</v>
      </c>
      <c r="I603" s="1">
        <v>44216</v>
      </c>
      <c r="J603">
        <v>1</v>
      </c>
      <c r="K603">
        <v>113</v>
      </c>
      <c r="L603">
        <v>56</v>
      </c>
      <c r="M603" t="s">
        <v>159</v>
      </c>
      <c r="N603" t="s">
        <v>154</v>
      </c>
    </row>
    <row r="604" spans="1:14" x14ac:dyDescent="0.25">
      <c r="A604" t="s">
        <v>70</v>
      </c>
      <c r="B604" t="s">
        <v>65</v>
      </c>
      <c r="C604" s="1">
        <v>43523</v>
      </c>
      <c r="D604" t="s">
        <v>131</v>
      </c>
      <c r="E604">
        <v>2</v>
      </c>
      <c r="F604" s="12">
        <v>116</v>
      </c>
      <c r="G604">
        <v>117</v>
      </c>
      <c r="H604" s="13">
        <v>13542.53</v>
      </c>
      <c r="I604" s="1">
        <v>44003</v>
      </c>
      <c r="J604">
        <v>6</v>
      </c>
      <c r="K604">
        <v>535</v>
      </c>
      <c r="L604">
        <v>59</v>
      </c>
      <c r="M604" t="s">
        <v>159</v>
      </c>
      <c r="N604" t="s">
        <v>154</v>
      </c>
    </row>
    <row r="605" spans="1:14" x14ac:dyDescent="0.25">
      <c r="A605" t="s">
        <v>115</v>
      </c>
      <c r="B605" t="s">
        <v>109</v>
      </c>
      <c r="C605" s="1">
        <v>43357</v>
      </c>
      <c r="D605" t="s">
        <v>131</v>
      </c>
      <c r="E605">
        <v>2</v>
      </c>
      <c r="F605" s="12">
        <v>116</v>
      </c>
      <c r="G605">
        <v>207</v>
      </c>
      <c r="H605" s="13">
        <v>23982.53</v>
      </c>
      <c r="I605" s="1">
        <v>44025</v>
      </c>
      <c r="J605">
        <v>7</v>
      </c>
      <c r="K605">
        <v>318</v>
      </c>
      <c r="L605">
        <v>25</v>
      </c>
      <c r="M605" t="s">
        <v>160</v>
      </c>
      <c r="N605" t="s">
        <v>153</v>
      </c>
    </row>
    <row r="606" spans="1:14" x14ac:dyDescent="0.25">
      <c r="A606" t="s">
        <v>70</v>
      </c>
      <c r="B606" t="s">
        <v>65</v>
      </c>
      <c r="C606" s="1">
        <v>43523</v>
      </c>
      <c r="D606" t="s">
        <v>131</v>
      </c>
      <c r="E606">
        <v>2</v>
      </c>
      <c r="F606" s="12">
        <v>116</v>
      </c>
      <c r="G606">
        <v>152</v>
      </c>
      <c r="H606" s="13">
        <v>17602.53</v>
      </c>
      <c r="I606" s="1">
        <v>44343</v>
      </c>
      <c r="J606">
        <v>5</v>
      </c>
      <c r="K606">
        <v>66</v>
      </c>
      <c r="L606">
        <v>55</v>
      </c>
      <c r="M606" t="s">
        <v>156</v>
      </c>
      <c r="N606" t="s">
        <v>154</v>
      </c>
    </row>
    <row r="607" spans="1:14" x14ac:dyDescent="0.25">
      <c r="A607" t="s">
        <v>80</v>
      </c>
      <c r="B607" t="s">
        <v>77</v>
      </c>
      <c r="C607" s="1">
        <v>43282</v>
      </c>
      <c r="D607" t="s">
        <v>131</v>
      </c>
      <c r="E607">
        <v>2</v>
      </c>
      <c r="F607" s="12">
        <v>116</v>
      </c>
      <c r="G607">
        <v>448</v>
      </c>
      <c r="H607" s="13">
        <v>51938.53</v>
      </c>
      <c r="I607" s="1">
        <v>43657</v>
      </c>
      <c r="J607">
        <v>7</v>
      </c>
      <c r="K607">
        <v>231</v>
      </c>
      <c r="L607">
        <v>22</v>
      </c>
      <c r="M607" t="s">
        <v>160</v>
      </c>
      <c r="N607" t="s">
        <v>154</v>
      </c>
    </row>
    <row r="608" spans="1:14" x14ac:dyDescent="0.25">
      <c r="A608" t="s">
        <v>92</v>
      </c>
      <c r="B608" t="s">
        <v>88</v>
      </c>
      <c r="C608" s="1">
        <v>42660</v>
      </c>
      <c r="D608" t="s">
        <v>131</v>
      </c>
      <c r="E608">
        <v>2</v>
      </c>
      <c r="F608" s="12">
        <v>116</v>
      </c>
      <c r="G608">
        <v>203</v>
      </c>
      <c r="H608" s="13">
        <v>23518.53</v>
      </c>
      <c r="I608" s="1">
        <v>44430</v>
      </c>
      <c r="J608">
        <v>8</v>
      </c>
      <c r="K608">
        <v>388</v>
      </c>
      <c r="L608">
        <v>46</v>
      </c>
      <c r="M608" t="s">
        <v>163</v>
      </c>
      <c r="N608" t="s">
        <v>154</v>
      </c>
    </row>
    <row r="609" spans="1:14" x14ac:dyDescent="0.25">
      <c r="A609" t="s">
        <v>46</v>
      </c>
      <c r="B609" t="s">
        <v>39</v>
      </c>
      <c r="C609" s="1">
        <v>43490</v>
      </c>
      <c r="D609" t="s">
        <v>131</v>
      </c>
      <c r="E609">
        <v>2</v>
      </c>
      <c r="F609" s="12">
        <v>116</v>
      </c>
      <c r="G609">
        <v>1274</v>
      </c>
      <c r="H609" s="13">
        <v>147754.53</v>
      </c>
      <c r="I609" s="1">
        <v>43509</v>
      </c>
      <c r="J609">
        <v>2</v>
      </c>
      <c r="K609">
        <v>427</v>
      </c>
      <c r="L609">
        <v>70</v>
      </c>
      <c r="M609" t="s">
        <v>165</v>
      </c>
      <c r="N609" t="s">
        <v>154</v>
      </c>
    </row>
    <row r="610" spans="1:14" x14ac:dyDescent="0.25">
      <c r="A610" t="s">
        <v>104</v>
      </c>
      <c r="B610" t="s">
        <v>101</v>
      </c>
      <c r="C610" s="1">
        <v>43296</v>
      </c>
      <c r="D610" t="s">
        <v>131</v>
      </c>
      <c r="E610">
        <v>2</v>
      </c>
      <c r="F610" s="12">
        <v>116</v>
      </c>
      <c r="G610">
        <v>192</v>
      </c>
      <c r="H610" s="13">
        <v>22242.53</v>
      </c>
      <c r="I610" s="1">
        <v>44424</v>
      </c>
      <c r="J610">
        <v>8</v>
      </c>
      <c r="K610">
        <v>200</v>
      </c>
      <c r="L610">
        <v>66</v>
      </c>
      <c r="M610" t="s">
        <v>165</v>
      </c>
      <c r="N610" t="s">
        <v>154</v>
      </c>
    </row>
    <row r="611" spans="1:14" x14ac:dyDescent="0.25">
      <c r="A611" t="s">
        <v>118</v>
      </c>
      <c r="B611" t="s">
        <v>112</v>
      </c>
      <c r="C611" s="1">
        <v>43001</v>
      </c>
      <c r="D611" t="s">
        <v>131</v>
      </c>
      <c r="E611">
        <v>2</v>
      </c>
      <c r="F611" s="12">
        <v>116</v>
      </c>
      <c r="G611">
        <v>570</v>
      </c>
      <c r="H611" s="13">
        <v>66090.53</v>
      </c>
      <c r="I611" s="1">
        <v>43350</v>
      </c>
      <c r="J611">
        <v>9</v>
      </c>
      <c r="K611">
        <v>460</v>
      </c>
      <c r="L611">
        <v>56</v>
      </c>
      <c r="M611" t="s">
        <v>159</v>
      </c>
      <c r="N611" t="s">
        <v>154</v>
      </c>
    </row>
    <row r="612" spans="1:14" x14ac:dyDescent="0.25">
      <c r="A612" t="s">
        <v>117</v>
      </c>
      <c r="B612" t="s">
        <v>111</v>
      </c>
      <c r="C612" s="1">
        <v>42729</v>
      </c>
      <c r="D612" t="s">
        <v>131</v>
      </c>
      <c r="E612">
        <v>2</v>
      </c>
      <c r="F612" s="12">
        <v>116</v>
      </c>
      <c r="G612">
        <v>714</v>
      </c>
      <c r="H612" s="13">
        <v>82794.53</v>
      </c>
      <c r="I612" s="1">
        <v>44137</v>
      </c>
      <c r="J612">
        <v>11</v>
      </c>
      <c r="K612">
        <v>496</v>
      </c>
      <c r="L612">
        <v>52</v>
      </c>
      <c r="M612" t="s">
        <v>156</v>
      </c>
      <c r="N612" t="s">
        <v>153</v>
      </c>
    </row>
    <row r="613" spans="1:14" x14ac:dyDescent="0.25">
      <c r="A613" t="s">
        <v>51</v>
      </c>
      <c r="B613" t="s">
        <v>49</v>
      </c>
      <c r="C613" s="1">
        <v>42394</v>
      </c>
      <c r="D613" t="s">
        <v>131</v>
      </c>
      <c r="E613">
        <v>2</v>
      </c>
      <c r="F613" s="12">
        <v>116</v>
      </c>
      <c r="G613">
        <v>478</v>
      </c>
      <c r="H613" s="13">
        <v>55418.53</v>
      </c>
      <c r="I613" s="1">
        <v>43714</v>
      </c>
      <c r="J613">
        <v>9</v>
      </c>
      <c r="K613">
        <v>214</v>
      </c>
      <c r="L613">
        <v>53</v>
      </c>
      <c r="M613" t="s">
        <v>156</v>
      </c>
      <c r="N613" t="s">
        <v>154</v>
      </c>
    </row>
    <row r="614" spans="1:14" x14ac:dyDescent="0.25">
      <c r="A614" t="s">
        <v>82</v>
      </c>
      <c r="B614" t="s">
        <v>79</v>
      </c>
      <c r="C614" s="1">
        <v>43278</v>
      </c>
      <c r="D614" t="s">
        <v>131</v>
      </c>
      <c r="E614">
        <v>2</v>
      </c>
      <c r="F614" s="12">
        <v>116</v>
      </c>
      <c r="G614">
        <v>776</v>
      </c>
      <c r="H614" s="13">
        <v>89986.53</v>
      </c>
      <c r="I614" s="1">
        <v>44417</v>
      </c>
      <c r="J614">
        <v>8</v>
      </c>
      <c r="K614">
        <v>500</v>
      </c>
      <c r="L614">
        <v>47</v>
      </c>
      <c r="M614" t="s">
        <v>163</v>
      </c>
      <c r="N614" t="s">
        <v>154</v>
      </c>
    </row>
    <row r="615" spans="1:14" x14ac:dyDescent="0.25">
      <c r="A615" t="s">
        <v>64</v>
      </c>
      <c r="B615" t="s">
        <v>59</v>
      </c>
      <c r="C615" s="1">
        <v>43153</v>
      </c>
      <c r="D615" t="s">
        <v>131</v>
      </c>
      <c r="E615">
        <v>2</v>
      </c>
      <c r="F615" s="12">
        <v>116</v>
      </c>
      <c r="G615">
        <v>396</v>
      </c>
      <c r="H615" s="13">
        <v>45906.53</v>
      </c>
      <c r="I615" s="1">
        <v>43225</v>
      </c>
      <c r="J615">
        <v>5</v>
      </c>
      <c r="K615">
        <v>200</v>
      </c>
      <c r="L615">
        <v>66</v>
      </c>
      <c r="M615" t="s">
        <v>165</v>
      </c>
      <c r="N615" t="s">
        <v>154</v>
      </c>
    </row>
    <row r="616" spans="1:14" x14ac:dyDescent="0.25">
      <c r="A616" t="s">
        <v>104</v>
      </c>
      <c r="B616" t="s">
        <v>101</v>
      </c>
      <c r="C616" s="1">
        <v>43296</v>
      </c>
      <c r="D616" t="s">
        <v>131</v>
      </c>
      <c r="E616">
        <v>2</v>
      </c>
      <c r="F616" s="12">
        <v>116</v>
      </c>
      <c r="G616">
        <v>315</v>
      </c>
      <c r="H616" s="13">
        <v>36510.53</v>
      </c>
      <c r="I616" s="1">
        <v>43700</v>
      </c>
      <c r="J616">
        <v>8</v>
      </c>
      <c r="K616">
        <v>193</v>
      </c>
      <c r="L616">
        <v>32</v>
      </c>
      <c r="M616" t="s">
        <v>164</v>
      </c>
      <c r="N616" t="s">
        <v>154</v>
      </c>
    </row>
    <row r="617" spans="1:14" x14ac:dyDescent="0.25">
      <c r="A617" t="s">
        <v>43</v>
      </c>
      <c r="B617" t="s">
        <v>37</v>
      </c>
      <c r="C617" s="1">
        <v>43490</v>
      </c>
      <c r="D617" t="s">
        <v>131</v>
      </c>
      <c r="E617">
        <v>2</v>
      </c>
      <c r="F617" s="12">
        <v>116</v>
      </c>
      <c r="G617">
        <v>251</v>
      </c>
      <c r="H617" s="13">
        <v>29086.53</v>
      </c>
      <c r="I617" s="1">
        <v>43610</v>
      </c>
      <c r="J617">
        <v>5</v>
      </c>
      <c r="K617">
        <v>431</v>
      </c>
      <c r="L617">
        <v>52</v>
      </c>
      <c r="M617" t="s">
        <v>156</v>
      </c>
      <c r="N617" t="s">
        <v>154</v>
      </c>
    </row>
    <row r="618" spans="1:14" x14ac:dyDescent="0.25">
      <c r="A618" t="s">
        <v>43</v>
      </c>
      <c r="B618" t="s">
        <v>37</v>
      </c>
      <c r="C618" s="1">
        <v>43490</v>
      </c>
      <c r="D618" t="s">
        <v>131</v>
      </c>
      <c r="E618">
        <v>2</v>
      </c>
      <c r="F618" s="12">
        <v>116</v>
      </c>
      <c r="G618">
        <v>548</v>
      </c>
      <c r="H618" s="13">
        <v>63538.53</v>
      </c>
      <c r="I618" s="1">
        <v>43592</v>
      </c>
      <c r="J618">
        <v>5</v>
      </c>
      <c r="K618">
        <v>384</v>
      </c>
      <c r="L618">
        <v>57</v>
      </c>
      <c r="M618" t="s">
        <v>159</v>
      </c>
      <c r="N618" t="s">
        <v>154</v>
      </c>
    </row>
    <row r="619" spans="1:14" x14ac:dyDescent="0.25">
      <c r="A619" t="s">
        <v>40</v>
      </c>
      <c r="B619" t="s">
        <v>0</v>
      </c>
      <c r="C619" s="1">
        <v>43287</v>
      </c>
      <c r="D619" t="s">
        <v>131</v>
      </c>
      <c r="E619">
        <v>2</v>
      </c>
      <c r="F619" s="12">
        <v>116</v>
      </c>
      <c r="G619">
        <v>1513</v>
      </c>
      <c r="H619" s="13">
        <v>175478.53</v>
      </c>
      <c r="I619" s="1">
        <v>43508</v>
      </c>
      <c r="J619">
        <v>2</v>
      </c>
      <c r="K619">
        <v>555</v>
      </c>
      <c r="L619">
        <v>35</v>
      </c>
      <c r="M619" t="s">
        <v>164</v>
      </c>
      <c r="N619" t="s">
        <v>153</v>
      </c>
    </row>
    <row r="620" spans="1:14" x14ac:dyDescent="0.25">
      <c r="A620" t="s">
        <v>91</v>
      </c>
      <c r="B620" t="s">
        <v>87</v>
      </c>
      <c r="C620" s="1">
        <v>43557</v>
      </c>
      <c r="D620" t="s">
        <v>131</v>
      </c>
      <c r="E620">
        <v>2</v>
      </c>
      <c r="F620" s="12">
        <v>116</v>
      </c>
      <c r="G620">
        <v>252</v>
      </c>
      <c r="H620" s="13">
        <v>29202.53</v>
      </c>
      <c r="I620" s="1">
        <v>44027</v>
      </c>
      <c r="J620">
        <v>7</v>
      </c>
      <c r="K620">
        <v>563</v>
      </c>
      <c r="L620">
        <v>53</v>
      </c>
      <c r="M620" t="s">
        <v>156</v>
      </c>
      <c r="N620" t="s">
        <v>153</v>
      </c>
    </row>
    <row r="621" spans="1:14" x14ac:dyDescent="0.25">
      <c r="A621" t="s">
        <v>31</v>
      </c>
      <c r="B621" t="s">
        <v>27</v>
      </c>
      <c r="C621" s="1">
        <v>42433</v>
      </c>
      <c r="D621" t="s">
        <v>131</v>
      </c>
      <c r="E621">
        <v>2</v>
      </c>
      <c r="F621" s="12">
        <v>116</v>
      </c>
      <c r="G621">
        <v>462</v>
      </c>
      <c r="H621" s="13">
        <v>53562.53</v>
      </c>
      <c r="I621" s="1">
        <v>44170</v>
      </c>
      <c r="J621">
        <v>12</v>
      </c>
      <c r="K621">
        <v>353</v>
      </c>
      <c r="L621">
        <v>57</v>
      </c>
      <c r="M621" t="s">
        <v>159</v>
      </c>
      <c r="N621" t="s">
        <v>153</v>
      </c>
    </row>
    <row r="622" spans="1:14" x14ac:dyDescent="0.25">
      <c r="A622" t="s">
        <v>115</v>
      </c>
      <c r="B622" t="s">
        <v>109</v>
      </c>
      <c r="C622" s="1">
        <v>43357</v>
      </c>
      <c r="D622" t="s">
        <v>131</v>
      </c>
      <c r="E622">
        <v>2</v>
      </c>
      <c r="F622" s="12">
        <v>116</v>
      </c>
      <c r="G622">
        <v>800</v>
      </c>
      <c r="H622" s="13">
        <v>92770.53</v>
      </c>
      <c r="I622" s="1">
        <v>44347</v>
      </c>
      <c r="J622">
        <v>5</v>
      </c>
      <c r="K622">
        <v>264</v>
      </c>
      <c r="L622">
        <v>61</v>
      </c>
      <c r="M622" t="s">
        <v>157</v>
      </c>
      <c r="N622" t="s">
        <v>154</v>
      </c>
    </row>
    <row r="623" spans="1:14" x14ac:dyDescent="0.25">
      <c r="A623" t="s">
        <v>83</v>
      </c>
      <c r="B623" t="s">
        <v>84</v>
      </c>
      <c r="C623" s="1">
        <v>43427</v>
      </c>
      <c r="D623" t="s">
        <v>131</v>
      </c>
      <c r="E623">
        <v>2</v>
      </c>
      <c r="F623" s="12">
        <v>116</v>
      </c>
      <c r="G623">
        <v>1224</v>
      </c>
      <c r="H623" s="13">
        <v>141954.53</v>
      </c>
      <c r="I623" s="1">
        <v>43934</v>
      </c>
      <c r="J623">
        <v>4</v>
      </c>
      <c r="K623">
        <v>334</v>
      </c>
      <c r="L623">
        <v>28</v>
      </c>
      <c r="M623" t="s">
        <v>158</v>
      </c>
      <c r="N623" t="s">
        <v>153</v>
      </c>
    </row>
    <row r="624" spans="1:14" x14ac:dyDescent="0.25">
      <c r="A624" t="s">
        <v>93</v>
      </c>
      <c r="B624" t="s">
        <v>94</v>
      </c>
      <c r="C624" s="1">
        <v>43618</v>
      </c>
      <c r="D624" t="s">
        <v>131</v>
      </c>
      <c r="E624">
        <v>2</v>
      </c>
      <c r="F624" s="12">
        <v>116</v>
      </c>
      <c r="G624">
        <v>762</v>
      </c>
      <c r="H624" s="13">
        <v>88362.53</v>
      </c>
      <c r="I624" s="1">
        <v>44131</v>
      </c>
      <c r="J624">
        <v>10</v>
      </c>
      <c r="K624">
        <v>256</v>
      </c>
      <c r="L624">
        <v>21</v>
      </c>
      <c r="M624" t="s">
        <v>160</v>
      </c>
      <c r="N624" t="s">
        <v>153</v>
      </c>
    </row>
    <row r="625" spans="1:14" x14ac:dyDescent="0.25">
      <c r="A625" t="s">
        <v>95</v>
      </c>
      <c r="B625" t="s">
        <v>96</v>
      </c>
      <c r="C625" s="1">
        <v>43758</v>
      </c>
      <c r="D625" t="s">
        <v>131</v>
      </c>
      <c r="E625">
        <v>2</v>
      </c>
      <c r="F625" s="12">
        <v>116</v>
      </c>
      <c r="G625">
        <v>508</v>
      </c>
      <c r="H625" s="13">
        <v>58898.53</v>
      </c>
      <c r="I625" s="1">
        <v>44400</v>
      </c>
      <c r="J625">
        <v>7</v>
      </c>
      <c r="K625">
        <v>331</v>
      </c>
      <c r="L625">
        <v>60</v>
      </c>
      <c r="M625" t="s">
        <v>159</v>
      </c>
      <c r="N625" t="s">
        <v>154</v>
      </c>
    </row>
    <row r="626" spans="1:14" x14ac:dyDescent="0.25">
      <c r="A626" t="s">
        <v>95</v>
      </c>
      <c r="B626" t="s">
        <v>96</v>
      </c>
      <c r="C626" s="1">
        <v>43758</v>
      </c>
      <c r="D626" t="s">
        <v>131</v>
      </c>
      <c r="E626">
        <v>2</v>
      </c>
      <c r="F626" s="12">
        <v>116</v>
      </c>
      <c r="G626">
        <v>1207</v>
      </c>
      <c r="H626" s="13">
        <v>139982.53</v>
      </c>
      <c r="I626" s="1">
        <v>43863</v>
      </c>
      <c r="J626">
        <v>2</v>
      </c>
      <c r="K626">
        <v>158</v>
      </c>
      <c r="L626">
        <v>50</v>
      </c>
      <c r="M626" t="s">
        <v>163</v>
      </c>
      <c r="N626" t="s">
        <v>154</v>
      </c>
    </row>
    <row r="627" spans="1:14" x14ac:dyDescent="0.25">
      <c r="A627" t="s">
        <v>34</v>
      </c>
      <c r="B627" t="s">
        <v>30</v>
      </c>
      <c r="C627" s="1">
        <v>43765</v>
      </c>
      <c r="D627" t="s">
        <v>131</v>
      </c>
      <c r="E627">
        <v>2</v>
      </c>
      <c r="F627" s="12">
        <v>116</v>
      </c>
      <c r="G627">
        <v>211</v>
      </c>
      <c r="H627" s="13">
        <v>24446.53</v>
      </c>
      <c r="I627" s="1">
        <v>44022</v>
      </c>
      <c r="J627">
        <v>7</v>
      </c>
      <c r="K627">
        <v>258</v>
      </c>
      <c r="L627">
        <v>58</v>
      </c>
      <c r="M627" t="s">
        <v>159</v>
      </c>
      <c r="N627" t="s">
        <v>154</v>
      </c>
    </row>
    <row r="628" spans="1:14" x14ac:dyDescent="0.25">
      <c r="A628" t="s">
        <v>31</v>
      </c>
      <c r="B628" t="s">
        <v>27</v>
      </c>
      <c r="C628" s="1">
        <v>42433</v>
      </c>
      <c r="D628" t="s">
        <v>131</v>
      </c>
      <c r="E628">
        <v>2</v>
      </c>
      <c r="F628" s="12">
        <v>116</v>
      </c>
      <c r="G628">
        <v>469</v>
      </c>
      <c r="H628" s="13">
        <v>54374.53</v>
      </c>
      <c r="I628" s="1">
        <v>43675</v>
      </c>
      <c r="J628">
        <v>7</v>
      </c>
      <c r="K628">
        <v>341</v>
      </c>
      <c r="L628">
        <v>59</v>
      </c>
      <c r="M628" t="s">
        <v>159</v>
      </c>
      <c r="N628" t="s">
        <v>154</v>
      </c>
    </row>
    <row r="629" spans="1:14" x14ac:dyDescent="0.25">
      <c r="A629" t="s">
        <v>75</v>
      </c>
      <c r="B629" t="s">
        <v>76</v>
      </c>
      <c r="C629" s="1">
        <v>43003</v>
      </c>
      <c r="D629" t="s">
        <v>131</v>
      </c>
      <c r="E629">
        <v>2</v>
      </c>
      <c r="F629" s="12">
        <v>116</v>
      </c>
      <c r="G629">
        <v>950</v>
      </c>
      <c r="H629" s="13">
        <v>110170.53</v>
      </c>
      <c r="I629" s="1">
        <v>43497</v>
      </c>
      <c r="J629">
        <v>2</v>
      </c>
      <c r="K629">
        <v>132</v>
      </c>
      <c r="L629">
        <v>58</v>
      </c>
      <c r="M629" t="s">
        <v>159</v>
      </c>
      <c r="N629" t="s">
        <v>154</v>
      </c>
    </row>
    <row r="630" spans="1:14" x14ac:dyDescent="0.25">
      <c r="A630" t="s">
        <v>117</v>
      </c>
      <c r="B630" t="s">
        <v>111</v>
      </c>
      <c r="C630" s="1">
        <v>42729</v>
      </c>
      <c r="D630" t="s">
        <v>131</v>
      </c>
      <c r="E630">
        <v>2</v>
      </c>
      <c r="F630" s="12">
        <v>116</v>
      </c>
      <c r="G630">
        <v>537</v>
      </c>
      <c r="H630" s="13">
        <v>62262.53</v>
      </c>
      <c r="I630" s="1">
        <v>44132</v>
      </c>
      <c r="J630">
        <v>10</v>
      </c>
      <c r="K630">
        <v>581</v>
      </c>
      <c r="L630">
        <v>52</v>
      </c>
      <c r="M630" t="s">
        <v>156</v>
      </c>
      <c r="N630" t="s">
        <v>153</v>
      </c>
    </row>
    <row r="631" spans="1:14" x14ac:dyDescent="0.25">
      <c r="A631" t="s">
        <v>52</v>
      </c>
      <c r="B631" t="s">
        <v>50</v>
      </c>
      <c r="C631" s="1">
        <v>43917</v>
      </c>
      <c r="D631" t="s">
        <v>131</v>
      </c>
      <c r="E631">
        <v>2</v>
      </c>
      <c r="F631" s="12">
        <v>116</v>
      </c>
      <c r="G631">
        <v>495</v>
      </c>
      <c r="H631" s="13">
        <v>57390.53</v>
      </c>
      <c r="I631" s="1">
        <v>44428</v>
      </c>
      <c r="J631">
        <v>8</v>
      </c>
      <c r="K631">
        <v>141</v>
      </c>
      <c r="L631">
        <v>38</v>
      </c>
      <c r="M631" t="s">
        <v>161</v>
      </c>
      <c r="N631" t="s">
        <v>153</v>
      </c>
    </row>
    <row r="632" spans="1:14" x14ac:dyDescent="0.25">
      <c r="A632" t="s">
        <v>97</v>
      </c>
      <c r="B632" t="s">
        <v>98</v>
      </c>
      <c r="C632" s="1">
        <v>42388</v>
      </c>
      <c r="D632" t="s">
        <v>131</v>
      </c>
      <c r="E632">
        <v>2</v>
      </c>
      <c r="F632" s="12">
        <v>116</v>
      </c>
      <c r="G632">
        <v>238</v>
      </c>
      <c r="H632" s="13">
        <v>27578.53</v>
      </c>
      <c r="I632" s="1">
        <v>43070</v>
      </c>
      <c r="J632">
        <v>12</v>
      </c>
      <c r="K632">
        <v>27</v>
      </c>
      <c r="L632">
        <v>56</v>
      </c>
      <c r="M632" t="s">
        <v>159</v>
      </c>
      <c r="N632" t="s">
        <v>154</v>
      </c>
    </row>
    <row r="633" spans="1:14" x14ac:dyDescent="0.25">
      <c r="A633" t="s">
        <v>44</v>
      </c>
      <c r="B633" t="s">
        <v>2</v>
      </c>
      <c r="C633" s="1">
        <v>42641</v>
      </c>
      <c r="D633" t="s">
        <v>131</v>
      </c>
      <c r="E633">
        <v>2</v>
      </c>
      <c r="F633" s="12">
        <v>116</v>
      </c>
      <c r="G633">
        <v>360</v>
      </c>
      <c r="H633" s="13">
        <v>41730.53</v>
      </c>
      <c r="I633" s="1">
        <v>43834</v>
      </c>
      <c r="J633">
        <v>1</v>
      </c>
      <c r="K633">
        <v>180</v>
      </c>
      <c r="L633">
        <v>60</v>
      </c>
      <c r="M633" t="s">
        <v>159</v>
      </c>
      <c r="N633" t="s">
        <v>154</v>
      </c>
    </row>
    <row r="634" spans="1:14" x14ac:dyDescent="0.25">
      <c r="A634" t="s">
        <v>82</v>
      </c>
      <c r="B634" t="s">
        <v>79</v>
      </c>
      <c r="C634" s="1">
        <v>43278</v>
      </c>
      <c r="D634" t="s">
        <v>131</v>
      </c>
      <c r="E634">
        <v>2</v>
      </c>
      <c r="F634" s="12">
        <v>116</v>
      </c>
      <c r="G634">
        <v>1813</v>
      </c>
      <c r="H634" s="13">
        <v>210278.53</v>
      </c>
      <c r="I634" s="1">
        <v>43905</v>
      </c>
      <c r="J634">
        <v>3</v>
      </c>
      <c r="K634">
        <v>311</v>
      </c>
      <c r="L634">
        <v>63</v>
      </c>
      <c r="M634" t="s">
        <v>157</v>
      </c>
      <c r="N634" t="s">
        <v>154</v>
      </c>
    </row>
    <row r="635" spans="1:14" x14ac:dyDescent="0.25">
      <c r="A635" t="s">
        <v>70</v>
      </c>
      <c r="B635" t="s">
        <v>65</v>
      </c>
      <c r="C635" s="1">
        <v>43523</v>
      </c>
      <c r="D635" t="s">
        <v>131</v>
      </c>
      <c r="E635">
        <v>2</v>
      </c>
      <c r="F635" s="12">
        <v>116</v>
      </c>
      <c r="G635">
        <v>732</v>
      </c>
      <c r="H635" s="13">
        <v>84882.53</v>
      </c>
      <c r="I635" s="1">
        <v>43815</v>
      </c>
      <c r="J635">
        <v>12</v>
      </c>
      <c r="K635">
        <v>538</v>
      </c>
      <c r="L635">
        <v>53</v>
      </c>
      <c r="M635" t="s">
        <v>156</v>
      </c>
      <c r="N635" t="s">
        <v>154</v>
      </c>
    </row>
    <row r="636" spans="1:14" x14ac:dyDescent="0.25">
      <c r="A636" t="s">
        <v>62</v>
      </c>
      <c r="B636" t="s">
        <v>57</v>
      </c>
      <c r="C636" s="1">
        <v>43724</v>
      </c>
      <c r="D636" t="s">
        <v>131</v>
      </c>
      <c r="E636">
        <v>2</v>
      </c>
      <c r="F636" s="12">
        <v>116</v>
      </c>
      <c r="G636">
        <v>488</v>
      </c>
      <c r="H636" s="13">
        <v>56578.53</v>
      </c>
      <c r="I636" s="1">
        <v>44065</v>
      </c>
      <c r="J636">
        <v>8</v>
      </c>
      <c r="K636">
        <v>341</v>
      </c>
      <c r="L636">
        <v>59</v>
      </c>
      <c r="M636" t="s">
        <v>159</v>
      </c>
      <c r="N636" t="s">
        <v>154</v>
      </c>
    </row>
    <row r="637" spans="1:14" x14ac:dyDescent="0.25">
      <c r="A637" t="s">
        <v>46</v>
      </c>
      <c r="B637" t="s">
        <v>39</v>
      </c>
      <c r="C637" s="1">
        <v>43490</v>
      </c>
      <c r="D637" t="s">
        <v>131</v>
      </c>
      <c r="E637">
        <v>2</v>
      </c>
      <c r="F637" s="12">
        <v>116</v>
      </c>
      <c r="G637">
        <v>291</v>
      </c>
      <c r="H637" s="13">
        <v>33726.53</v>
      </c>
      <c r="I637" s="1">
        <v>43660</v>
      </c>
      <c r="J637">
        <v>7</v>
      </c>
      <c r="K637">
        <v>589</v>
      </c>
      <c r="L637">
        <v>57</v>
      </c>
      <c r="M637" t="s">
        <v>159</v>
      </c>
      <c r="N637" t="s">
        <v>154</v>
      </c>
    </row>
    <row r="638" spans="1:14" x14ac:dyDescent="0.25">
      <c r="A638" t="s">
        <v>62</v>
      </c>
      <c r="B638" t="s">
        <v>57</v>
      </c>
      <c r="C638" s="1">
        <v>43724</v>
      </c>
      <c r="D638" t="s">
        <v>131</v>
      </c>
      <c r="E638">
        <v>2</v>
      </c>
      <c r="F638" s="12">
        <v>116</v>
      </c>
      <c r="G638">
        <v>664</v>
      </c>
      <c r="H638" s="13">
        <v>76994.53</v>
      </c>
      <c r="I638" s="1">
        <v>44336</v>
      </c>
      <c r="J638">
        <v>5</v>
      </c>
      <c r="K638">
        <v>179</v>
      </c>
      <c r="L638">
        <v>58</v>
      </c>
      <c r="M638" t="s">
        <v>159</v>
      </c>
      <c r="N638" t="s">
        <v>154</v>
      </c>
    </row>
    <row r="639" spans="1:14" x14ac:dyDescent="0.25">
      <c r="A639" t="s">
        <v>71</v>
      </c>
      <c r="B639" t="s">
        <v>66</v>
      </c>
      <c r="C639" s="1">
        <v>43621</v>
      </c>
      <c r="D639" t="s">
        <v>131</v>
      </c>
      <c r="E639">
        <v>2</v>
      </c>
      <c r="F639" s="12">
        <v>116</v>
      </c>
      <c r="G639">
        <v>570</v>
      </c>
      <c r="H639" s="13">
        <v>66090.53</v>
      </c>
      <c r="I639" s="1">
        <v>43981</v>
      </c>
      <c r="J639">
        <v>5</v>
      </c>
      <c r="K639">
        <v>416</v>
      </c>
      <c r="L639">
        <v>26</v>
      </c>
      <c r="M639" t="s">
        <v>158</v>
      </c>
      <c r="N639" t="s">
        <v>154</v>
      </c>
    </row>
    <row r="640" spans="1:14" x14ac:dyDescent="0.25">
      <c r="A640" t="s">
        <v>80</v>
      </c>
      <c r="B640" t="s">
        <v>77</v>
      </c>
      <c r="C640" s="1">
        <v>43282</v>
      </c>
      <c r="D640" t="s">
        <v>131</v>
      </c>
      <c r="E640">
        <v>2</v>
      </c>
      <c r="F640" s="12">
        <v>116</v>
      </c>
      <c r="G640">
        <v>789</v>
      </c>
      <c r="H640" s="13">
        <v>91494.53</v>
      </c>
      <c r="I640" s="1">
        <v>43626</v>
      </c>
      <c r="J640">
        <v>6</v>
      </c>
      <c r="K640">
        <v>2</v>
      </c>
      <c r="L640">
        <v>61</v>
      </c>
      <c r="M640" t="s">
        <v>157</v>
      </c>
      <c r="N640" t="s">
        <v>154</v>
      </c>
    </row>
    <row r="641" spans="1:14" x14ac:dyDescent="0.25">
      <c r="A641" t="s">
        <v>64</v>
      </c>
      <c r="B641" t="s">
        <v>59</v>
      </c>
      <c r="C641" s="1">
        <v>43153</v>
      </c>
      <c r="D641" t="s">
        <v>131</v>
      </c>
      <c r="E641">
        <v>2</v>
      </c>
      <c r="F641" s="12">
        <v>116</v>
      </c>
      <c r="G641">
        <v>178</v>
      </c>
      <c r="H641" s="13">
        <v>20618.53</v>
      </c>
      <c r="I641" s="1">
        <v>43994</v>
      </c>
      <c r="J641">
        <v>6</v>
      </c>
      <c r="K641">
        <v>94</v>
      </c>
      <c r="L641">
        <v>51</v>
      </c>
      <c r="M641" t="s">
        <v>156</v>
      </c>
      <c r="N641" t="s">
        <v>153</v>
      </c>
    </row>
    <row r="642" spans="1:14" x14ac:dyDescent="0.25">
      <c r="A642" t="s">
        <v>63</v>
      </c>
      <c r="B642" t="s">
        <v>58</v>
      </c>
      <c r="C642" s="1">
        <v>43155</v>
      </c>
      <c r="D642" t="s">
        <v>131</v>
      </c>
      <c r="E642">
        <v>2</v>
      </c>
      <c r="F642" s="12">
        <v>116</v>
      </c>
      <c r="G642">
        <v>718</v>
      </c>
      <c r="H642" s="13">
        <v>83258.53</v>
      </c>
      <c r="I642" s="1">
        <v>44388</v>
      </c>
      <c r="J642">
        <v>7</v>
      </c>
      <c r="K642">
        <v>357</v>
      </c>
      <c r="L642">
        <v>57</v>
      </c>
      <c r="M642" t="s">
        <v>159</v>
      </c>
      <c r="N642" t="s">
        <v>153</v>
      </c>
    </row>
    <row r="643" spans="1:14" x14ac:dyDescent="0.25">
      <c r="A643" t="s">
        <v>53</v>
      </c>
      <c r="B643" t="s">
        <v>54</v>
      </c>
      <c r="C643" s="1">
        <v>42816</v>
      </c>
      <c r="D643" t="s">
        <v>131</v>
      </c>
      <c r="E643">
        <v>2</v>
      </c>
      <c r="F643" s="12">
        <v>116</v>
      </c>
      <c r="G643">
        <v>324</v>
      </c>
      <c r="H643" s="13">
        <v>37554.53</v>
      </c>
      <c r="I643" s="1">
        <v>44415</v>
      </c>
      <c r="J643">
        <v>8</v>
      </c>
      <c r="K643">
        <v>591</v>
      </c>
      <c r="L643">
        <v>60</v>
      </c>
      <c r="M643" t="s">
        <v>159</v>
      </c>
      <c r="N643" t="s">
        <v>153</v>
      </c>
    </row>
    <row r="644" spans="1:14" x14ac:dyDescent="0.25">
      <c r="A644" t="s">
        <v>51</v>
      </c>
      <c r="B644" t="s">
        <v>49</v>
      </c>
      <c r="C644" s="1">
        <v>42394</v>
      </c>
      <c r="D644" t="s">
        <v>131</v>
      </c>
      <c r="E644">
        <v>2</v>
      </c>
      <c r="F644" s="12">
        <v>116</v>
      </c>
      <c r="G644">
        <v>571</v>
      </c>
      <c r="H644" s="13">
        <v>66206.53</v>
      </c>
      <c r="I644" s="1">
        <v>44208</v>
      </c>
      <c r="J644">
        <v>1</v>
      </c>
      <c r="K644">
        <v>350</v>
      </c>
      <c r="L644">
        <v>42</v>
      </c>
      <c r="M644" t="s">
        <v>162</v>
      </c>
      <c r="N644" t="s">
        <v>154</v>
      </c>
    </row>
    <row r="645" spans="1:14" x14ac:dyDescent="0.25">
      <c r="A645" t="s">
        <v>45</v>
      </c>
      <c r="B645" t="s">
        <v>38</v>
      </c>
      <c r="C645" s="1">
        <v>43534</v>
      </c>
      <c r="D645" t="s">
        <v>131</v>
      </c>
      <c r="E645">
        <v>2</v>
      </c>
      <c r="F645" s="12">
        <v>116</v>
      </c>
      <c r="G645">
        <v>606</v>
      </c>
      <c r="H645" s="13">
        <v>70266.53</v>
      </c>
      <c r="I645" s="1">
        <v>44336</v>
      </c>
      <c r="J645">
        <v>5</v>
      </c>
      <c r="K645">
        <v>76</v>
      </c>
      <c r="L645">
        <v>35</v>
      </c>
      <c r="M645" t="s">
        <v>164</v>
      </c>
      <c r="N645" t="s">
        <v>153</v>
      </c>
    </row>
    <row r="646" spans="1:14" x14ac:dyDescent="0.25">
      <c r="A646" t="s">
        <v>63</v>
      </c>
      <c r="B646" t="s">
        <v>58</v>
      </c>
      <c r="C646" s="1">
        <v>43155</v>
      </c>
      <c r="D646" t="s">
        <v>131</v>
      </c>
      <c r="E646">
        <v>2</v>
      </c>
      <c r="F646" s="12">
        <v>116</v>
      </c>
      <c r="G646">
        <v>211</v>
      </c>
      <c r="H646" s="13">
        <v>24446.53</v>
      </c>
      <c r="I646" s="1">
        <v>43316</v>
      </c>
      <c r="J646">
        <v>8</v>
      </c>
      <c r="K646">
        <v>106</v>
      </c>
      <c r="L646">
        <v>60</v>
      </c>
      <c r="M646" t="s">
        <v>159</v>
      </c>
      <c r="N646" t="s">
        <v>154</v>
      </c>
    </row>
    <row r="647" spans="1:14" x14ac:dyDescent="0.25">
      <c r="A647" t="s">
        <v>64</v>
      </c>
      <c r="B647" t="s">
        <v>59</v>
      </c>
      <c r="C647" s="1">
        <v>43153</v>
      </c>
      <c r="D647" t="s">
        <v>131</v>
      </c>
      <c r="E647">
        <v>2</v>
      </c>
      <c r="F647" s="12">
        <v>116</v>
      </c>
      <c r="G647">
        <v>989</v>
      </c>
      <c r="H647" s="13">
        <v>114694.53</v>
      </c>
      <c r="I647" s="1">
        <v>43875</v>
      </c>
      <c r="J647">
        <v>2</v>
      </c>
      <c r="K647">
        <v>403</v>
      </c>
      <c r="L647">
        <v>32</v>
      </c>
      <c r="M647" t="s">
        <v>164</v>
      </c>
      <c r="N647" t="s">
        <v>153</v>
      </c>
    </row>
    <row r="648" spans="1:14" x14ac:dyDescent="0.25">
      <c r="A648" t="s">
        <v>41</v>
      </c>
      <c r="B648" t="s">
        <v>36</v>
      </c>
      <c r="C648" s="1">
        <v>42880</v>
      </c>
      <c r="D648" t="s">
        <v>131</v>
      </c>
      <c r="E648">
        <v>2</v>
      </c>
      <c r="F648" s="12">
        <v>116</v>
      </c>
      <c r="G648">
        <v>227</v>
      </c>
      <c r="H648" s="13">
        <v>26302.53</v>
      </c>
      <c r="I648" s="1">
        <v>44206</v>
      </c>
      <c r="J648">
        <v>1</v>
      </c>
      <c r="K648">
        <v>484</v>
      </c>
      <c r="L648">
        <v>68</v>
      </c>
      <c r="M648" t="s">
        <v>165</v>
      </c>
      <c r="N648" t="s">
        <v>154</v>
      </c>
    </row>
    <row r="649" spans="1:14" x14ac:dyDescent="0.25">
      <c r="A649" t="s">
        <v>33</v>
      </c>
      <c r="B649" t="s">
        <v>29</v>
      </c>
      <c r="C649" s="1">
        <v>42795</v>
      </c>
      <c r="D649" t="s">
        <v>131</v>
      </c>
      <c r="E649">
        <v>2</v>
      </c>
      <c r="F649" s="12">
        <v>116</v>
      </c>
      <c r="G649">
        <v>1379</v>
      </c>
      <c r="H649" s="13">
        <v>159934.53</v>
      </c>
      <c r="I649" s="1">
        <v>42836</v>
      </c>
      <c r="J649">
        <v>4</v>
      </c>
      <c r="K649">
        <v>480</v>
      </c>
      <c r="L649">
        <v>39</v>
      </c>
      <c r="M649" t="s">
        <v>161</v>
      </c>
      <c r="N649" t="s">
        <v>153</v>
      </c>
    </row>
    <row r="650" spans="1:14" x14ac:dyDescent="0.25">
      <c r="A650" t="s">
        <v>81</v>
      </c>
      <c r="B650" t="s">
        <v>78</v>
      </c>
      <c r="C650" s="1">
        <v>43932</v>
      </c>
      <c r="D650" t="s">
        <v>131</v>
      </c>
      <c r="E650">
        <v>2</v>
      </c>
      <c r="F650" s="12">
        <v>116</v>
      </c>
      <c r="G650">
        <v>484</v>
      </c>
      <c r="H650" s="13">
        <v>56114.53</v>
      </c>
      <c r="I650" s="1">
        <v>44346</v>
      </c>
      <c r="J650">
        <v>5</v>
      </c>
      <c r="K650">
        <v>448</v>
      </c>
      <c r="L650">
        <v>39</v>
      </c>
      <c r="M650" t="s">
        <v>161</v>
      </c>
      <c r="N650" t="s">
        <v>153</v>
      </c>
    </row>
    <row r="651" spans="1:14" x14ac:dyDescent="0.25">
      <c r="A651" t="s">
        <v>71</v>
      </c>
      <c r="B651" t="s">
        <v>66</v>
      </c>
      <c r="C651" s="1">
        <v>43621</v>
      </c>
      <c r="D651" t="s">
        <v>131</v>
      </c>
      <c r="E651">
        <v>2</v>
      </c>
      <c r="F651" s="12">
        <v>116</v>
      </c>
      <c r="G651">
        <v>697</v>
      </c>
      <c r="H651" s="13">
        <v>80822.53</v>
      </c>
      <c r="I651" s="1">
        <v>43779</v>
      </c>
      <c r="J651">
        <v>11</v>
      </c>
      <c r="K651">
        <v>436</v>
      </c>
      <c r="L651">
        <v>58</v>
      </c>
      <c r="M651" t="s">
        <v>159</v>
      </c>
      <c r="N651" t="s">
        <v>153</v>
      </c>
    </row>
    <row r="652" spans="1:14" x14ac:dyDescent="0.25">
      <c r="A652" t="s">
        <v>104</v>
      </c>
      <c r="B652" t="s">
        <v>101</v>
      </c>
      <c r="C652" s="1">
        <v>43296</v>
      </c>
      <c r="D652" t="s">
        <v>131</v>
      </c>
      <c r="E652">
        <v>2</v>
      </c>
      <c r="F652" s="12">
        <v>116</v>
      </c>
      <c r="G652">
        <v>1439</v>
      </c>
      <c r="H652" s="13">
        <v>166894.53</v>
      </c>
      <c r="I652" s="1">
        <v>43922</v>
      </c>
      <c r="J652">
        <v>4</v>
      </c>
      <c r="K652">
        <v>266</v>
      </c>
      <c r="L652">
        <v>57</v>
      </c>
      <c r="M652" t="s">
        <v>159</v>
      </c>
      <c r="N652" t="s">
        <v>154</v>
      </c>
    </row>
    <row r="653" spans="1:14" x14ac:dyDescent="0.25">
      <c r="A653" t="s">
        <v>104</v>
      </c>
      <c r="B653" t="s">
        <v>101</v>
      </c>
      <c r="C653" s="1">
        <v>43296</v>
      </c>
      <c r="D653" t="s">
        <v>131</v>
      </c>
      <c r="E653">
        <v>2</v>
      </c>
      <c r="F653" s="12">
        <v>116</v>
      </c>
      <c r="G653">
        <v>108</v>
      </c>
      <c r="H653" s="13">
        <v>12498.53</v>
      </c>
      <c r="I653" s="1">
        <v>44388</v>
      </c>
      <c r="J653">
        <v>7</v>
      </c>
      <c r="K653">
        <v>455</v>
      </c>
      <c r="L653">
        <v>31</v>
      </c>
      <c r="M653" t="s">
        <v>164</v>
      </c>
      <c r="N653" t="s">
        <v>154</v>
      </c>
    </row>
    <row r="654" spans="1:14" x14ac:dyDescent="0.25">
      <c r="A654" t="s">
        <v>90</v>
      </c>
      <c r="B654" t="s">
        <v>86</v>
      </c>
      <c r="C654" s="1">
        <v>43995</v>
      </c>
      <c r="D654" t="s">
        <v>131</v>
      </c>
      <c r="E654">
        <v>2</v>
      </c>
      <c r="F654" s="12">
        <v>116</v>
      </c>
      <c r="G654">
        <v>740</v>
      </c>
      <c r="H654" s="13">
        <v>85810.53</v>
      </c>
      <c r="I654" s="1">
        <v>44102</v>
      </c>
      <c r="J654">
        <v>9</v>
      </c>
      <c r="K654">
        <v>86</v>
      </c>
      <c r="L654">
        <v>20</v>
      </c>
      <c r="M654" t="s">
        <v>160</v>
      </c>
      <c r="N654" t="s">
        <v>153</v>
      </c>
    </row>
    <row r="655" spans="1:14" x14ac:dyDescent="0.25">
      <c r="A655" t="s">
        <v>64</v>
      </c>
      <c r="B655" t="s">
        <v>59</v>
      </c>
      <c r="C655" s="1">
        <v>43153</v>
      </c>
      <c r="D655" t="s">
        <v>131</v>
      </c>
      <c r="E655">
        <v>2</v>
      </c>
      <c r="F655" s="12">
        <v>116</v>
      </c>
      <c r="G655">
        <v>414</v>
      </c>
      <c r="H655" s="13">
        <v>47994.53</v>
      </c>
      <c r="I655" s="1">
        <v>43810</v>
      </c>
      <c r="J655">
        <v>12</v>
      </c>
      <c r="K655">
        <v>36</v>
      </c>
      <c r="L655">
        <v>30</v>
      </c>
      <c r="M655" t="s">
        <v>158</v>
      </c>
      <c r="N655" t="s">
        <v>153</v>
      </c>
    </row>
    <row r="656" spans="1:14" x14ac:dyDescent="0.25">
      <c r="A656" t="s">
        <v>62</v>
      </c>
      <c r="B656" t="s">
        <v>57</v>
      </c>
      <c r="C656" s="1">
        <v>43724</v>
      </c>
      <c r="D656" t="s">
        <v>131</v>
      </c>
      <c r="E656">
        <v>2</v>
      </c>
      <c r="F656" s="12">
        <v>116</v>
      </c>
      <c r="G656">
        <v>554</v>
      </c>
      <c r="H656" s="13">
        <v>64234.53</v>
      </c>
      <c r="I656" s="1">
        <v>44089</v>
      </c>
      <c r="J656">
        <v>9</v>
      </c>
      <c r="K656">
        <v>246</v>
      </c>
      <c r="L656">
        <v>50</v>
      </c>
      <c r="M656" t="s">
        <v>163</v>
      </c>
      <c r="N656" t="s">
        <v>154</v>
      </c>
    </row>
    <row r="657" spans="1:14" x14ac:dyDescent="0.25">
      <c r="A657" t="s">
        <v>52</v>
      </c>
      <c r="B657" t="s">
        <v>50</v>
      </c>
      <c r="C657" s="1">
        <v>43917</v>
      </c>
      <c r="D657" t="s">
        <v>131</v>
      </c>
      <c r="E657">
        <v>2</v>
      </c>
      <c r="F657" s="12">
        <v>116</v>
      </c>
      <c r="G657">
        <v>1898</v>
      </c>
      <c r="H657" s="13">
        <v>220138.53</v>
      </c>
      <c r="I657" s="1">
        <v>44268</v>
      </c>
      <c r="J657">
        <v>3</v>
      </c>
      <c r="K657">
        <v>45</v>
      </c>
      <c r="L657">
        <v>43</v>
      </c>
      <c r="M657" t="s">
        <v>162</v>
      </c>
      <c r="N657" t="s">
        <v>153</v>
      </c>
    </row>
    <row r="658" spans="1:14" x14ac:dyDescent="0.25">
      <c r="A658" t="s">
        <v>105</v>
      </c>
      <c r="B658" t="s">
        <v>106</v>
      </c>
      <c r="C658" s="1">
        <v>43451</v>
      </c>
      <c r="D658" t="s">
        <v>131</v>
      </c>
      <c r="E658">
        <v>2</v>
      </c>
      <c r="F658" s="12">
        <v>116</v>
      </c>
      <c r="G658">
        <v>765</v>
      </c>
      <c r="H658" s="13">
        <v>88710.53</v>
      </c>
      <c r="I658" s="1">
        <v>44076</v>
      </c>
      <c r="J658">
        <v>9</v>
      </c>
      <c r="K658">
        <v>67</v>
      </c>
      <c r="L658">
        <v>30</v>
      </c>
      <c r="M658" t="s">
        <v>158</v>
      </c>
      <c r="N658" t="s">
        <v>154</v>
      </c>
    </row>
    <row r="659" spans="1:14" x14ac:dyDescent="0.25">
      <c r="A659" t="s">
        <v>117</v>
      </c>
      <c r="B659" t="s">
        <v>111</v>
      </c>
      <c r="C659" s="1">
        <v>42729</v>
      </c>
      <c r="D659" t="s">
        <v>131</v>
      </c>
      <c r="E659">
        <v>2</v>
      </c>
      <c r="F659" s="12">
        <v>116</v>
      </c>
      <c r="G659">
        <v>517</v>
      </c>
      <c r="H659" s="13">
        <v>59942.53</v>
      </c>
      <c r="I659" s="1">
        <v>43687</v>
      </c>
      <c r="J659">
        <v>8</v>
      </c>
      <c r="K659">
        <v>531</v>
      </c>
      <c r="L659">
        <v>32</v>
      </c>
      <c r="M659" t="s">
        <v>164</v>
      </c>
      <c r="N659" t="s">
        <v>153</v>
      </c>
    </row>
    <row r="660" spans="1:14" x14ac:dyDescent="0.25">
      <c r="A660" t="s">
        <v>61</v>
      </c>
      <c r="B660" t="s">
        <v>56</v>
      </c>
      <c r="C660" s="1">
        <v>42607</v>
      </c>
      <c r="D660" t="s">
        <v>131</v>
      </c>
      <c r="E660">
        <v>2</v>
      </c>
      <c r="F660" s="12">
        <v>116</v>
      </c>
      <c r="G660">
        <v>723</v>
      </c>
      <c r="H660" s="13">
        <v>83838.53</v>
      </c>
      <c r="I660" s="1">
        <v>43469</v>
      </c>
      <c r="J660">
        <v>1</v>
      </c>
      <c r="K660">
        <v>206</v>
      </c>
      <c r="L660">
        <v>29</v>
      </c>
      <c r="M660" t="s">
        <v>158</v>
      </c>
      <c r="N660" t="s">
        <v>154</v>
      </c>
    </row>
    <row r="661" spans="1:14" x14ac:dyDescent="0.25">
      <c r="A661" t="s">
        <v>105</v>
      </c>
      <c r="B661" t="s">
        <v>106</v>
      </c>
      <c r="C661" s="1">
        <v>43451</v>
      </c>
      <c r="D661" t="s">
        <v>131</v>
      </c>
      <c r="E661">
        <v>2</v>
      </c>
      <c r="F661" s="12">
        <v>116</v>
      </c>
      <c r="G661">
        <v>387</v>
      </c>
      <c r="H661" s="13">
        <v>44862.53</v>
      </c>
      <c r="I661" s="1">
        <v>44191</v>
      </c>
      <c r="J661">
        <v>12</v>
      </c>
      <c r="K661">
        <v>261</v>
      </c>
      <c r="L661">
        <v>39</v>
      </c>
      <c r="M661" t="s">
        <v>161</v>
      </c>
      <c r="N661" t="s">
        <v>153</v>
      </c>
    </row>
    <row r="662" spans="1:14" x14ac:dyDescent="0.25">
      <c r="A662" t="s">
        <v>72</v>
      </c>
      <c r="B662" t="s">
        <v>67</v>
      </c>
      <c r="C662" s="1">
        <v>43827</v>
      </c>
      <c r="D662" t="s">
        <v>131</v>
      </c>
      <c r="E662">
        <v>2</v>
      </c>
      <c r="F662" s="12">
        <v>116</v>
      </c>
      <c r="G662">
        <v>795</v>
      </c>
      <c r="H662" s="13">
        <v>92190.53</v>
      </c>
      <c r="I662" s="1">
        <v>44252</v>
      </c>
      <c r="J662">
        <v>2</v>
      </c>
      <c r="K662">
        <v>217</v>
      </c>
      <c r="L662">
        <v>60</v>
      </c>
      <c r="M662" t="s">
        <v>159</v>
      </c>
      <c r="N662" t="s">
        <v>154</v>
      </c>
    </row>
    <row r="663" spans="1:14" x14ac:dyDescent="0.25">
      <c r="A663" t="s">
        <v>46</v>
      </c>
      <c r="B663" t="s">
        <v>39</v>
      </c>
      <c r="C663" s="1">
        <v>43490</v>
      </c>
      <c r="D663" t="s">
        <v>131</v>
      </c>
      <c r="E663">
        <v>2</v>
      </c>
      <c r="F663" s="12">
        <v>116</v>
      </c>
      <c r="G663">
        <v>570</v>
      </c>
      <c r="H663" s="13">
        <v>66090.53</v>
      </c>
      <c r="I663" s="1">
        <v>44132</v>
      </c>
      <c r="J663">
        <v>10</v>
      </c>
      <c r="K663">
        <v>261</v>
      </c>
      <c r="L663">
        <v>39</v>
      </c>
      <c r="M663" t="s">
        <v>161</v>
      </c>
      <c r="N663" t="s">
        <v>153</v>
      </c>
    </row>
    <row r="664" spans="1:14" x14ac:dyDescent="0.25">
      <c r="A664" t="s">
        <v>102</v>
      </c>
      <c r="B664" t="s">
        <v>99</v>
      </c>
      <c r="C664" s="1">
        <v>43488</v>
      </c>
      <c r="D664" t="s">
        <v>131</v>
      </c>
      <c r="E664">
        <v>2</v>
      </c>
      <c r="F664" s="12">
        <v>116</v>
      </c>
      <c r="G664">
        <v>1388</v>
      </c>
      <c r="H664" s="13">
        <v>160978.53</v>
      </c>
      <c r="I664" s="1">
        <v>43902</v>
      </c>
      <c r="J664">
        <v>3</v>
      </c>
      <c r="K664">
        <v>241</v>
      </c>
      <c r="L664">
        <v>52</v>
      </c>
      <c r="M664" t="s">
        <v>156</v>
      </c>
      <c r="N664" t="s">
        <v>153</v>
      </c>
    </row>
    <row r="665" spans="1:14" x14ac:dyDescent="0.25">
      <c r="A665" t="s">
        <v>51</v>
      </c>
      <c r="B665" t="s">
        <v>49</v>
      </c>
      <c r="C665" s="1">
        <v>42394</v>
      </c>
      <c r="D665" t="s">
        <v>131</v>
      </c>
      <c r="E665">
        <v>2</v>
      </c>
      <c r="F665" s="12">
        <v>116</v>
      </c>
      <c r="G665">
        <v>364</v>
      </c>
      <c r="H665" s="13">
        <v>42194.53</v>
      </c>
      <c r="I665" s="1">
        <v>43026</v>
      </c>
      <c r="J665">
        <v>10</v>
      </c>
      <c r="K665">
        <v>472</v>
      </c>
      <c r="L665">
        <v>52</v>
      </c>
      <c r="M665" t="s">
        <v>156</v>
      </c>
      <c r="N665" t="s">
        <v>154</v>
      </c>
    </row>
    <row r="666" spans="1:14" x14ac:dyDescent="0.25">
      <c r="A666" t="s">
        <v>42</v>
      </c>
      <c r="B666" t="s">
        <v>1</v>
      </c>
      <c r="C666" s="1">
        <v>43712</v>
      </c>
      <c r="D666" t="s">
        <v>131</v>
      </c>
      <c r="E666">
        <v>2</v>
      </c>
      <c r="F666" s="12">
        <v>116</v>
      </c>
      <c r="G666">
        <v>1267</v>
      </c>
      <c r="H666" s="13">
        <v>146942.53</v>
      </c>
      <c r="I666" s="1">
        <v>43899</v>
      </c>
      <c r="J666">
        <v>3</v>
      </c>
      <c r="K666">
        <v>170</v>
      </c>
      <c r="L666">
        <v>57</v>
      </c>
      <c r="M666" t="s">
        <v>159</v>
      </c>
      <c r="N666" t="s">
        <v>154</v>
      </c>
    </row>
    <row r="667" spans="1:14" x14ac:dyDescent="0.25">
      <c r="A667" t="s">
        <v>60</v>
      </c>
      <c r="B667" t="s">
        <v>55</v>
      </c>
      <c r="C667" s="1">
        <v>43555</v>
      </c>
      <c r="D667" t="s">
        <v>131</v>
      </c>
      <c r="E667">
        <v>2</v>
      </c>
      <c r="F667" s="12">
        <v>116</v>
      </c>
      <c r="G667">
        <v>280</v>
      </c>
      <c r="H667" s="13">
        <v>32450.53</v>
      </c>
      <c r="I667" s="1">
        <v>44127</v>
      </c>
      <c r="J667">
        <v>10</v>
      </c>
      <c r="K667">
        <v>190</v>
      </c>
      <c r="L667">
        <v>24</v>
      </c>
      <c r="M667" t="s">
        <v>160</v>
      </c>
      <c r="N667" t="s">
        <v>154</v>
      </c>
    </row>
    <row r="668" spans="1:14" x14ac:dyDescent="0.25">
      <c r="A668" t="s">
        <v>91</v>
      </c>
      <c r="B668" t="s">
        <v>87</v>
      </c>
      <c r="C668" s="1">
        <v>43557</v>
      </c>
      <c r="D668" t="s">
        <v>131</v>
      </c>
      <c r="E668">
        <v>2</v>
      </c>
      <c r="F668" s="12">
        <v>116</v>
      </c>
      <c r="G668">
        <v>1261</v>
      </c>
      <c r="H668" s="13">
        <v>146246.53</v>
      </c>
      <c r="I668" s="1">
        <v>43869</v>
      </c>
      <c r="J668">
        <v>2</v>
      </c>
      <c r="K668">
        <v>234</v>
      </c>
      <c r="L668">
        <v>53</v>
      </c>
      <c r="M668" t="s">
        <v>156</v>
      </c>
      <c r="N668" t="s">
        <v>153</v>
      </c>
    </row>
    <row r="669" spans="1:14" x14ac:dyDescent="0.25">
      <c r="A669" t="s">
        <v>61</v>
      </c>
      <c r="B669" t="s">
        <v>56</v>
      </c>
      <c r="C669" s="1">
        <v>42607</v>
      </c>
      <c r="D669" t="s">
        <v>131</v>
      </c>
      <c r="E669">
        <v>2</v>
      </c>
      <c r="F669" s="12">
        <v>116</v>
      </c>
      <c r="G669">
        <v>328</v>
      </c>
      <c r="H669" s="13">
        <v>38018.53</v>
      </c>
      <c r="I669" s="1">
        <v>43795</v>
      </c>
      <c r="J669">
        <v>11</v>
      </c>
      <c r="K669">
        <v>37</v>
      </c>
      <c r="L669">
        <v>48</v>
      </c>
      <c r="M669" t="s">
        <v>163</v>
      </c>
      <c r="N669" t="s">
        <v>153</v>
      </c>
    </row>
    <row r="670" spans="1:14" x14ac:dyDescent="0.25">
      <c r="A670" t="s">
        <v>81</v>
      </c>
      <c r="B670" t="s">
        <v>78</v>
      </c>
      <c r="C670" s="1">
        <v>43932</v>
      </c>
      <c r="D670" t="s">
        <v>131</v>
      </c>
      <c r="E670">
        <v>2</v>
      </c>
      <c r="F670" s="12">
        <v>116</v>
      </c>
      <c r="G670">
        <v>446</v>
      </c>
      <c r="H670" s="13">
        <v>51706.53</v>
      </c>
      <c r="I670" s="1">
        <v>44361</v>
      </c>
      <c r="J670">
        <v>6</v>
      </c>
      <c r="K670">
        <v>114</v>
      </c>
      <c r="L670">
        <v>40</v>
      </c>
      <c r="M670" t="s">
        <v>161</v>
      </c>
      <c r="N670" t="s">
        <v>153</v>
      </c>
    </row>
    <row r="671" spans="1:14" x14ac:dyDescent="0.25">
      <c r="A671" t="s">
        <v>62</v>
      </c>
      <c r="B671" t="s">
        <v>57</v>
      </c>
      <c r="C671" s="1">
        <v>43724</v>
      </c>
      <c r="D671" t="s">
        <v>131</v>
      </c>
      <c r="E671">
        <v>2</v>
      </c>
      <c r="F671" s="12">
        <v>116</v>
      </c>
      <c r="G671">
        <v>931</v>
      </c>
      <c r="H671" s="13">
        <v>107966.53</v>
      </c>
      <c r="I671" s="1">
        <v>44245</v>
      </c>
      <c r="J671">
        <v>2</v>
      </c>
      <c r="K671">
        <v>514</v>
      </c>
      <c r="L671">
        <v>50</v>
      </c>
      <c r="M671" t="s">
        <v>163</v>
      </c>
      <c r="N671" t="s">
        <v>154</v>
      </c>
    </row>
    <row r="672" spans="1:14" x14ac:dyDescent="0.25">
      <c r="A672" t="s">
        <v>92</v>
      </c>
      <c r="B672" t="s">
        <v>88</v>
      </c>
      <c r="C672" s="1">
        <v>42660</v>
      </c>
      <c r="D672" t="s">
        <v>131</v>
      </c>
      <c r="E672">
        <v>2</v>
      </c>
      <c r="F672" s="12">
        <v>116</v>
      </c>
      <c r="G672">
        <v>676</v>
      </c>
      <c r="H672" s="13">
        <v>78386.53</v>
      </c>
      <c r="I672" s="1">
        <v>43037</v>
      </c>
      <c r="J672">
        <v>10</v>
      </c>
      <c r="K672">
        <v>420</v>
      </c>
      <c r="L672">
        <v>52</v>
      </c>
      <c r="M672" t="s">
        <v>156</v>
      </c>
      <c r="N672" t="s">
        <v>154</v>
      </c>
    </row>
    <row r="673" spans="1:14" x14ac:dyDescent="0.25">
      <c r="A673" t="s">
        <v>116</v>
      </c>
      <c r="B673" t="s">
        <v>110</v>
      </c>
      <c r="C673" s="1">
        <v>42277</v>
      </c>
      <c r="D673" t="s">
        <v>131</v>
      </c>
      <c r="E673">
        <v>2</v>
      </c>
      <c r="F673" s="12">
        <v>116</v>
      </c>
      <c r="G673">
        <v>542</v>
      </c>
      <c r="H673" s="13">
        <v>62842.53</v>
      </c>
      <c r="I673" s="1">
        <v>43717</v>
      </c>
      <c r="J673">
        <v>9</v>
      </c>
      <c r="K673">
        <v>296</v>
      </c>
      <c r="L673">
        <v>55</v>
      </c>
      <c r="M673" t="s">
        <v>156</v>
      </c>
      <c r="N673" t="s">
        <v>153</v>
      </c>
    </row>
    <row r="674" spans="1:14" x14ac:dyDescent="0.25">
      <c r="A674" t="s">
        <v>70</v>
      </c>
      <c r="B674" t="s">
        <v>65</v>
      </c>
      <c r="C674" s="1">
        <v>43523</v>
      </c>
      <c r="D674" t="s">
        <v>131</v>
      </c>
      <c r="E674">
        <v>2</v>
      </c>
      <c r="F674" s="12">
        <v>116</v>
      </c>
      <c r="G674">
        <v>182</v>
      </c>
      <c r="H674" s="13">
        <v>21082.53</v>
      </c>
      <c r="I674" s="1">
        <v>44166</v>
      </c>
      <c r="J674">
        <v>12</v>
      </c>
      <c r="K674">
        <v>270</v>
      </c>
      <c r="L674">
        <v>26</v>
      </c>
      <c r="M674" t="s">
        <v>158</v>
      </c>
      <c r="N674" t="s">
        <v>154</v>
      </c>
    </row>
    <row r="675" spans="1:14" x14ac:dyDescent="0.25">
      <c r="A675" t="s">
        <v>31</v>
      </c>
      <c r="B675" t="s">
        <v>27</v>
      </c>
      <c r="C675" s="1">
        <v>42433</v>
      </c>
      <c r="D675" t="s">
        <v>131</v>
      </c>
      <c r="E675">
        <v>2</v>
      </c>
      <c r="F675" s="12">
        <v>116</v>
      </c>
      <c r="G675">
        <v>716</v>
      </c>
      <c r="H675" s="13">
        <v>83026.53</v>
      </c>
      <c r="I675" s="1">
        <v>43705</v>
      </c>
      <c r="J675">
        <v>8</v>
      </c>
      <c r="K675">
        <v>92</v>
      </c>
      <c r="L675">
        <v>37</v>
      </c>
      <c r="M675" t="s">
        <v>161</v>
      </c>
      <c r="N675" t="s">
        <v>153</v>
      </c>
    </row>
    <row r="676" spans="1:14" x14ac:dyDescent="0.25">
      <c r="A676" t="s">
        <v>51</v>
      </c>
      <c r="B676" t="s">
        <v>49</v>
      </c>
      <c r="C676" s="1">
        <v>42394</v>
      </c>
      <c r="D676" t="s">
        <v>131</v>
      </c>
      <c r="E676">
        <v>2</v>
      </c>
      <c r="F676" s="12">
        <v>116</v>
      </c>
      <c r="G676">
        <v>474</v>
      </c>
      <c r="H676" s="13">
        <v>54954.53</v>
      </c>
      <c r="I676" s="1">
        <v>43494</v>
      </c>
      <c r="J676">
        <v>1</v>
      </c>
      <c r="K676">
        <v>319</v>
      </c>
      <c r="L676">
        <v>52</v>
      </c>
      <c r="M676" t="s">
        <v>156</v>
      </c>
      <c r="N676" t="s">
        <v>153</v>
      </c>
    </row>
    <row r="677" spans="1:14" x14ac:dyDescent="0.25">
      <c r="A677" t="s">
        <v>64</v>
      </c>
      <c r="B677" t="s">
        <v>59</v>
      </c>
      <c r="C677" s="1">
        <v>43153</v>
      </c>
      <c r="D677" t="s">
        <v>131</v>
      </c>
      <c r="E677">
        <v>2</v>
      </c>
      <c r="F677" s="12">
        <v>116</v>
      </c>
      <c r="G677">
        <v>572</v>
      </c>
      <c r="H677" s="13">
        <v>66322.53</v>
      </c>
      <c r="I677" s="1">
        <v>43486</v>
      </c>
      <c r="J677">
        <v>1</v>
      </c>
      <c r="K677">
        <v>250</v>
      </c>
      <c r="L677">
        <v>48</v>
      </c>
      <c r="M677" t="s">
        <v>163</v>
      </c>
      <c r="N677" t="s">
        <v>154</v>
      </c>
    </row>
    <row r="678" spans="1:14" x14ac:dyDescent="0.25">
      <c r="A678" t="s">
        <v>61</v>
      </c>
      <c r="B678" t="s">
        <v>56</v>
      </c>
      <c r="C678" s="1">
        <v>42607</v>
      </c>
      <c r="D678" t="s">
        <v>131</v>
      </c>
      <c r="E678">
        <v>2</v>
      </c>
      <c r="F678" s="12">
        <v>116</v>
      </c>
      <c r="G678">
        <v>303</v>
      </c>
      <c r="H678" s="13">
        <v>35118.53</v>
      </c>
      <c r="I678" s="1">
        <v>43268</v>
      </c>
      <c r="J678">
        <v>6</v>
      </c>
      <c r="K678">
        <v>389</v>
      </c>
      <c r="L678">
        <v>55</v>
      </c>
      <c r="M678" t="s">
        <v>156</v>
      </c>
      <c r="N678" t="s">
        <v>154</v>
      </c>
    </row>
    <row r="679" spans="1:14" x14ac:dyDescent="0.25">
      <c r="A679" t="s">
        <v>80</v>
      </c>
      <c r="B679" t="s">
        <v>77</v>
      </c>
      <c r="C679" s="1">
        <v>43282</v>
      </c>
      <c r="D679" t="s">
        <v>131</v>
      </c>
      <c r="E679">
        <v>2</v>
      </c>
      <c r="F679" s="12">
        <v>116</v>
      </c>
      <c r="G679">
        <v>567</v>
      </c>
      <c r="H679" s="13">
        <v>65742.53</v>
      </c>
      <c r="I679" s="1">
        <v>43610</v>
      </c>
      <c r="J679">
        <v>5</v>
      </c>
      <c r="K679">
        <v>95</v>
      </c>
      <c r="L679">
        <v>38</v>
      </c>
      <c r="M679" t="s">
        <v>161</v>
      </c>
      <c r="N679" t="s">
        <v>153</v>
      </c>
    </row>
    <row r="680" spans="1:14" x14ac:dyDescent="0.25">
      <c r="A680" t="s">
        <v>60</v>
      </c>
      <c r="B680" t="s">
        <v>55</v>
      </c>
      <c r="C680" s="1">
        <v>43555</v>
      </c>
      <c r="D680" t="s">
        <v>131</v>
      </c>
      <c r="E680">
        <v>2</v>
      </c>
      <c r="F680" s="12">
        <v>116</v>
      </c>
      <c r="G680">
        <v>983</v>
      </c>
      <c r="H680" s="13">
        <v>113998.53</v>
      </c>
      <c r="I680" s="1">
        <v>43910</v>
      </c>
      <c r="J680">
        <v>3</v>
      </c>
      <c r="K680">
        <v>257</v>
      </c>
      <c r="L680">
        <v>50</v>
      </c>
      <c r="M680" t="s">
        <v>163</v>
      </c>
      <c r="N680" t="s">
        <v>154</v>
      </c>
    </row>
    <row r="681" spans="1:14" x14ac:dyDescent="0.25">
      <c r="A681" t="s">
        <v>82</v>
      </c>
      <c r="B681" t="s">
        <v>79</v>
      </c>
      <c r="C681" s="1">
        <v>43278</v>
      </c>
      <c r="D681" t="s">
        <v>131</v>
      </c>
      <c r="E681">
        <v>2</v>
      </c>
      <c r="F681" s="12">
        <v>116</v>
      </c>
      <c r="G681">
        <v>704</v>
      </c>
      <c r="H681" s="13">
        <v>81634.53</v>
      </c>
      <c r="I681" s="1">
        <v>43564</v>
      </c>
      <c r="J681">
        <v>4</v>
      </c>
      <c r="K681">
        <v>91</v>
      </c>
      <c r="L681">
        <v>65</v>
      </c>
      <c r="M681" t="s">
        <v>157</v>
      </c>
      <c r="N681" t="s">
        <v>154</v>
      </c>
    </row>
    <row r="682" spans="1:14" x14ac:dyDescent="0.25">
      <c r="A682" t="s">
        <v>35</v>
      </c>
      <c r="B682" t="s">
        <v>3</v>
      </c>
      <c r="C682" s="1">
        <v>42465</v>
      </c>
      <c r="D682" t="s">
        <v>131</v>
      </c>
      <c r="E682">
        <v>2</v>
      </c>
      <c r="F682" s="12">
        <v>116</v>
      </c>
      <c r="G682">
        <v>187</v>
      </c>
      <c r="H682" s="13">
        <v>21662.53</v>
      </c>
      <c r="I682" s="1">
        <v>43073</v>
      </c>
      <c r="J682">
        <v>12</v>
      </c>
      <c r="K682">
        <v>273</v>
      </c>
      <c r="L682">
        <v>60</v>
      </c>
      <c r="M682" t="s">
        <v>159</v>
      </c>
      <c r="N682" t="s">
        <v>154</v>
      </c>
    </row>
    <row r="683" spans="1:14" x14ac:dyDescent="0.25">
      <c r="A683" t="s">
        <v>113</v>
      </c>
      <c r="B683" t="s">
        <v>107</v>
      </c>
      <c r="C683" s="1">
        <v>43912</v>
      </c>
      <c r="D683" t="s">
        <v>131</v>
      </c>
      <c r="E683">
        <v>2</v>
      </c>
      <c r="F683" s="12">
        <v>116</v>
      </c>
      <c r="G683">
        <v>735</v>
      </c>
      <c r="H683" s="13">
        <v>85230.53</v>
      </c>
      <c r="I683" s="1">
        <v>44053</v>
      </c>
      <c r="J683">
        <v>8</v>
      </c>
      <c r="K683">
        <v>346</v>
      </c>
      <c r="L683">
        <v>51</v>
      </c>
      <c r="M683" t="s">
        <v>156</v>
      </c>
      <c r="N683" t="s">
        <v>154</v>
      </c>
    </row>
    <row r="684" spans="1:14" x14ac:dyDescent="0.25">
      <c r="A684" t="s">
        <v>34</v>
      </c>
      <c r="B684" t="s">
        <v>30</v>
      </c>
      <c r="C684" s="1">
        <v>43765</v>
      </c>
      <c r="D684" t="s">
        <v>131</v>
      </c>
      <c r="E684">
        <v>2</v>
      </c>
      <c r="F684" s="12">
        <v>116</v>
      </c>
      <c r="G684">
        <v>546</v>
      </c>
      <c r="H684" s="13">
        <v>63306.53</v>
      </c>
      <c r="I684" s="1">
        <v>43829</v>
      </c>
      <c r="J684">
        <v>12</v>
      </c>
      <c r="K684">
        <v>316</v>
      </c>
      <c r="L684">
        <v>53</v>
      </c>
      <c r="M684" t="s">
        <v>156</v>
      </c>
      <c r="N684" t="s">
        <v>153</v>
      </c>
    </row>
    <row r="685" spans="1:14" x14ac:dyDescent="0.25">
      <c r="A685" t="s">
        <v>63</v>
      </c>
      <c r="B685" t="s">
        <v>58</v>
      </c>
      <c r="C685" s="1">
        <v>43155</v>
      </c>
      <c r="D685" t="s">
        <v>131</v>
      </c>
      <c r="E685">
        <v>2</v>
      </c>
      <c r="F685" s="12">
        <v>116</v>
      </c>
      <c r="G685">
        <v>277</v>
      </c>
      <c r="H685" s="13">
        <v>32102.53</v>
      </c>
      <c r="I685" s="1">
        <v>43730</v>
      </c>
      <c r="J685">
        <v>9</v>
      </c>
      <c r="K685">
        <v>582</v>
      </c>
      <c r="L685">
        <v>59</v>
      </c>
      <c r="M685" t="s">
        <v>159</v>
      </c>
      <c r="N685" t="s">
        <v>154</v>
      </c>
    </row>
    <row r="686" spans="1:14" x14ac:dyDescent="0.25">
      <c r="A686" t="s">
        <v>64</v>
      </c>
      <c r="B686" t="s">
        <v>59</v>
      </c>
      <c r="C686" s="1">
        <v>43153</v>
      </c>
      <c r="D686" t="s">
        <v>131</v>
      </c>
      <c r="E686">
        <v>2</v>
      </c>
      <c r="F686" s="12">
        <v>116</v>
      </c>
      <c r="G686">
        <v>725</v>
      </c>
      <c r="H686" s="13">
        <v>84070.53</v>
      </c>
      <c r="I686" s="1">
        <v>43412</v>
      </c>
      <c r="J686">
        <v>11</v>
      </c>
      <c r="K686">
        <v>57</v>
      </c>
      <c r="L686">
        <v>59</v>
      </c>
      <c r="M686" t="s">
        <v>159</v>
      </c>
      <c r="N686" t="s">
        <v>154</v>
      </c>
    </row>
    <row r="687" spans="1:14" x14ac:dyDescent="0.25">
      <c r="A687" t="s">
        <v>47</v>
      </c>
      <c r="B687" t="s">
        <v>48</v>
      </c>
      <c r="C687" s="1">
        <v>42542</v>
      </c>
      <c r="D687" t="s">
        <v>131</v>
      </c>
      <c r="E687">
        <v>2</v>
      </c>
      <c r="F687" s="12">
        <v>116</v>
      </c>
      <c r="G687">
        <v>115</v>
      </c>
      <c r="H687" s="13">
        <v>13310.53</v>
      </c>
      <c r="I687" s="1">
        <v>43000</v>
      </c>
      <c r="J687">
        <v>9</v>
      </c>
      <c r="K687">
        <v>356</v>
      </c>
      <c r="L687">
        <v>58</v>
      </c>
      <c r="M687" t="s">
        <v>159</v>
      </c>
      <c r="N687" t="s">
        <v>154</v>
      </c>
    </row>
    <row r="688" spans="1:14" x14ac:dyDescent="0.25">
      <c r="A688" t="s">
        <v>44</v>
      </c>
      <c r="B688" t="s">
        <v>2</v>
      </c>
      <c r="C688" s="1">
        <v>42641</v>
      </c>
      <c r="D688" t="s">
        <v>131</v>
      </c>
      <c r="E688">
        <v>2</v>
      </c>
      <c r="F688" s="12">
        <v>116</v>
      </c>
      <c r="G688">
        <v>615</v>
      </c>
      <c r="H688" s="13">
        <v>71310.53</v>
      </c>
      <c r="I688" s="1">
        <v>43404</v>
      </c>
      <c r="J688">
        <v>10</v>
      </c>
      <c r="K688">
        <v>487</v>
      </c>
      <c r="L688">
        <v>57</v>
      </c>
      <c r="M688" t="s">
        <v>159</v>
      </c>
      <c r="N688" t="s">
        <v>153</v>
      </c>
    </row>
    <row r="689" spans="1:14" x14ac:dyDescent="0.25">
      <c r="A689" t="s">
        <v>33</v>
      </c>
      <c r="B689" t="s">
        <v>29</v>
      </c>
      <c r="C689" s="1">
        <v>42795</v>
      </c>
      <c r="D689" t="s">
        <v>131</v>
      </c>
      <c r="E689">
        <v>2</v>
      </c>
      <c r="F689" s="12">
        <v>116</v>
      </c>
      <c r="G689">
        <v>679</v>
      </c>
      <c r="H689" s="13">
        <v>78734.53</v>
      </c>
      <c r="I689" s="1">
        <v>43324</v>
      </c>
      <c r="J689">
        <v>8</v>
      </c>
      <c r="K689">
        <v>302</v>
      </c>
      <c r="L689">
        <v>53</v>
      </c>
      <c r="M689" t="s">
        <v>156</v>
      </c>
      <c r="N689" t="s">
        <v>154</v>
      </c>
    </row>
    <row r="690" spans="1:14" x14ac:dyDescent="0.25">
      <c r="A690" t="s">
        <v>51</v>
      </c>
      <c r="B690" t="s">
        <v>49</v>
      </c>
      <c r="C690" s="1">
        <v>42394</v>
      </c>
      <c r="D690" t="s">
        <v>131</v>
      </c>
      <c r="E690">
        <v>2</v>
      </c>
      <c r="F690" s="12">
        <v>116</v>
      </c>
      <c r="G690">
        <v>732</v>
      </c>
      <c r="H690" s="13">
        <v>84882.53</v>
      </c>
      <c r="I690" s="1">
        <v>44428</v>
      </c>
      <c r="J690">
        <v>8</v>
      </c>
      <c r="K690">
        <v>348</v>
      </c>
      <c r="L690">
        <v>30</v>
      </c>
      <c r="M690" t="s">
        <v>158</v>
      </c>
      <c r="N690" t="s">
        <v>153</v>
      </c>
    </row>
    <row r="691" spans="1:14" x14ac:dyDescent="0.25">
      <c r="A691" t="s">
        <v>90</v>
      </c>
      <c r="B691" t="s">
        <v>86</v>
      </c>
      <c r="C691" s="1">
        <v>43995</v>
      </c>
      <c r="D691" t="s">
        <v>131</v>
      </c>
      <c r="E691">
        <v>2</v>
      </c>
      <c r="F691" s="12">
        <v>116</v>
      </c>
      <c r="G691">
        <v>521</v>
      </c>
      <c r="H691" s="13">
        <v>60406.53</v>
      </c>
      <c r="I691" s="1">
        <v>44380</v>
      </c>
      <c r="J691">
        <v>7</v>
      </c>
      <c r="K691">
        <v>531</v>
      </c>
      <c r="L691">
        <v>32</v>
      </c>
      <c r="M691" t="s">
        <v>164</v>
      </c>
      <c r="N691" t="s">
        <v>153</v>
      </c>
    </row>
    <row r="692" spans="1:14" x14ac:dyDescent="0.25">
      <c r="A692" t="s">
        <v>41</v>
      </c>
      <c r="B692" t="s">
        <v>36</v>
      </c>
      <c r="C692" s="1">
        <v>42880</v>
      </c>
      <c r="D692" t="s">
        <v>131</v>
      </c>
      <c r="E692">
        <v>2</v>
      </c>
      <c r="F692" s="12">
        <v>116</v>
      </c>
      <c r="G692">
        <v>615</v>
      </c>
      <c r="H692" s="13">
        <v>71310.53</v>
      </c>
      <c r="I692" s="1">
        <v>44379</v>
      </c>
      <c r="J692">
        <v>7</v>
      </c>
      <c r="K692">
        <v>11</v>
      </c>
      <c r="L692">
        <v>57</v>
      </c>
      <c r="M692" t="s">
        <v>159</v>
      </c>
      <c r="N692" t="s">
        <v>154</v>
      </c>
    </row>
    <row r="693" spans="1:14" x14ac:dyDescent="0.25">
      <c r="A693" t="s">
        <v>118</v>
      </c>
      <c r="B693" t="s">
        <v>112</v>
      </c>
      <c r="C693" s="1">
        <v>43001</v>
      </c>
      <c r="D693" t="s">
        <v>131</v>
      </c>
      <c r="E693">
        <v>2</v>
      </c>
      <c r="F693" s="12">
        <v>116</v>
      </c>
      <c r="G693">
        <v>515</v>
      </c>
      <c r="H693" s="13">
        <v>59710.53</v>
      </c>
      <c r="I693" s="1">
        <v>44182</v>
      </c>
      <c r="J693">
        <v>12</v>
      </c>
      <c r="K693">
        <v>570</v>
      </c>
      <c r="L693">
        <v>21</v>
      </c>
      <c r="M693" t="s">
        <v>160</v>
      </c>
      <c r="N693" t="s">
        <v>154</v>
      </c>
    </row>
    <row r="694" spans="1:14" x14ac:dyDescent="0.25">
      <c r="A694" t="s">
        <v>97</v>
      </c>
      <c r="B694" t="s">
        <v>98</v>
      </c>
      <c r="C694" s="1">
        <v>42388</v>
      </c>
      <c r="D694" t="s">
        <v>131</v>
      </c>
      <c r="E694">
        <v>2</v>
      </c>
      <c r="F694" s="12">
        <v>116</v>
      </c>
      <c r="G694">
        <v>553</v>
      </c>
      <c r="H694" s="13">
        <v>64118.53</v>
      </c>
      <c r="I694" s="1">
        <v>43654</v>
      </c>
      <c r="J694">
        <v>7</v>
      </c>
      <c r="K694">
        <v>133</v>
      </c>
      <c r="L694">
        <v>56</v>
      </c>
      <c r="M694" t="s">
        <v>159</v>
      </c>
      <c r="N694" t="s">
        <v>154</v>
      </c>
    </row>
    <row r="695" spans="1:14" x14ac:dyDescent="0.25">
      <c r="A695" t="s">
        <v>95</v>
      </c>
      <c r="B695" t="s">
        <v>96</v>
      </c>
      <c r="C695" s="1">
        <v>43758</v>
      </c>
      <c r="D695" t="s">
        <v>131</v>
      </c>
      <c r="E695">
        <v>2</v>
      </c>
      <c r="F695" s="12">
        <v>116</v>
      </c>
      <c r="G695">
        <v>362</v>
      </c>
      <c r="H695" s="13">
        <v>41962.53</v>
      </c>
      <c r="I695" s="1">
        <v>43958</v>
      </c>
      <c r="J695">
        <v>5</v>
      </c>
      <c r="K695">
        <v>283</v>
      </c>
      <c r="L695">
        <v>34</v>
      </c>
      <c r="M695" t="s">
        <v>164</v>
      </c>
      <c r="N695" t="s">
        <v>154</v>
      </c>
    </row>
    <row r="696" spans="1:14" x14ac:dyDescent="0.25">
      <c r="A696" t="s">
        <v>70</v>
      </c>
      <c r="B696" t="s">
        <v>65</v>
      </c>
      <c r="C696" s="1">
        <v>43523</v>
      </c>
      <c r="D696" t="s">
        <v>131</v>
      </c>
      <c r="E696">
        <v>2</v>
      </c>
      <c r="F696" s="12">
        <v>116</v>
      </c>
      <c r="G696">
        <v>1172</v>
      </c>
      <c r="H696" s="13">
        <v>135922.53</v>
      </c>
      <c r="I696" s="1">
        <v>43541</v>
      </c>
      <c r="J696">
        <v>3</v>
      </c>
      <c r="K696">
        <v>97</v>
      </c>
      <c r="L696">
        <v>26</v>
      </c>
      <c r="M696" t="s">
        <v>158</v>
      </c>
      <c r="N696" t="s">
        <v>154</v>
      </c>
    </row>
    <row r="697" spans="1:14" x14ac:dyDescent="0.25">
      <c r="A697" t="s">
        <v>32</v>
      </c>
      <c r="B697" t="s">
        <v>28</v>
      </c>
      <c r="C697" s="1">
        <v>43161</v>
      </c>
      <c r="D697" t="s">
        <v>131</v>
      </c>
      <c r="E697">
        <v>2</v>
      </c>
      <c r="F697" s="12">
        <v>116</v>
      </c>
      <c r="G697">
        <v>331</v>
      </c>
      <c r="H697" s="13">
        <v>38366.53</v>
      </c>
      <c r="I697" s="1">
        <v>43802</v>
      </c>
      <c r="J697">
        <v>12</v>
      </c>
      <c r="K697">
        <v>115</v>
      </c>
      <c r="L697">
        <v>51</v>
      </c>
      <c r="M697" t="s">
        <v>156</v>
      </c>
      <c r="N697" t="s">
        <v>153</v>
      </c>
    </row>
    <row r="698" spans="1:14" x14ac:dyDescent="0.25">
      <c r="A698" t="s">
        <v>73</v>
      </c>
      <c r="B698" t="s">
        <v>68</v>
      </c>
      <c r="C698" s="1">
        <v>43097</v>
      </c>
      <c r="D698" t="s">
        <v>131</v>
      </c>
      <c r="E698">
        <v>2</v>
      </c>
      <c r="F698" s="12">
        <v>116</v>
      </c>
      <c r="G698">
        <v>331</v>
      </c>
      <c r="H698" s="13">
        <v>38366.53</v>
      </c>
      <c r="I698" s="1">
        <v>43434</v>
      </c>
      <c r="J698">
        <v>11</v>
      </c>
      <c r="K698">
        <v>412</v>
      </c>
      <c r="L698">
        <v>66</v>
      </c>
      <c r="M698" t="s">
        <v>165</v>
      </c>
      <c r="N698" t="s">
        <v>154</v>
      </c>
    </row>
    <row r="699" spans="1:14" x14ac:dyDescent="0.25">
      <c r="A699" t="s">
        <v>45</v>
      </c>
      <c r="B699" t="s">
        <v>38</v>
      </c>
      <c r="C699" s="1">
        <v>43534</v>
      </c>
      <c r="D699" t="s">
        <v>131</v>
      </c>
      <c r="E699">
        <v>2</v>
      </c>
      <c r="F699" s="12">
        <v>116</v>
      </c>
      <c r="G699">
        <v>576</v>
      </c>
      <c r="H699" s="13">
        <v>66786.53</v>
      </c>
      <c r="I699" s="1">
        <v>44376</v>
      </c>
      <c r="J699">
        <v>6</v>
      </c>
      <c r="K699">
        <v>231</v>
      </c>
      <c r="L699">
        <v>22</v>
      </c>
      <c r="M699" t="s">
        <v>160</v>
      </c>
      <c r="N699" t="s">
        <v>154</v>
      </c>
    </row>
    <row r="700" spans="1:14" x14ac:dyDescent="0.25">
      <c r="A700" t="s">
        <v>89</v>
      </c>
      <c r="B700" t="s">
        <v>85</v>
      </c>
      <c r="C700" s="1">
        <v>43093</v>
      </c>
      <c r="D700" t="s">
        <v>131</v>
      </c>
      <c r="E700">
        <v>2</v>
      </c>
      <c r="F700" s="12">
        <v>116</v>
      </c>
      <c r="G700">
        <v>1302</v>
      </c>
      <c r="H700" s="13">
        <v>151002.53</v>
      </c>
      <c r="I700" s="1">
        <v>43216</v>
      </c>
      <c r="J700">
        <v>4</v>
      </c>
      <c r="K700">
        <v>76</v>
      </c>
      <c r="L700">
        <v>35</v>
      </c>
      <c r="M700" t="s">
        <v>164</v>
      </c>
      <c r="N700" t="s">
        <v>153</v>
      </c>
    </row>
    <row r="701" spans="1:14" x14ac:dyDescent="0.25">
      <c r="A701" t="s">
        <v>102</v>
      </c>
      <c r="B701" t="s">
        <v>99</v>
      </c>
      <c r="C701" s="1">
        <v>43488</v>
      </c>
      <c r="D701" t="s">
        <v>131</v>
      </c>
      <c r="E701">
        <v>2</v>
      </c>
      <c r="F701" s="12">
        <v>116</v>
      </c>
      <c r="G701">
        <v>406</v>
      </c>
      <c r="H701" s="13">
        <v>47066.53</v>
      </c>
      <c r="I701" s="1">
        <v>43496</v>
      </c>
      <c r="J701">
        <v>1</v>
      </c>
      <c r="K701">
        <v>346</v>
      </c>
      <c r="L701">
        <v>51</v>
      </c>
      <c r="M701" t="s">
        <v>156</v>
      </c>
      <c r="N701" t="s">
        <v>154</v>
      </c>
    </row>
    <row r="702" spans="1:14" x14ac:dyDescent="0.25">
      <c r="A702" t="s">
        <v>43</v>
      </c>
      <c r="B702" t="s">
        <v>37</v>
      </c>
      <c r="C702" s="1">
        <v>43490</v>
      </c>
      <c r="D702" t="s">
        <v>131</v>
      </c>
      <c r="E702">
        <v>2</v>
      </c>
      <c r="F702" s="12">
        <v>116</v>
      </c>
      <c r="G702">
        <v>785</v>
      </c>
      <c r="H702" s="13">
        <v>91030.53</v>
      </c>
      <c r="I702" s="1">
        <v>44343</v>
      </c>
      <c r="J702">
        <v>5</v>
      </c>
      <c r="K702">
        <v>430</v>
      </c>
      <c r="L702">
        <v>39</v>
      </c>
      <c r="M702" t="s">
        <v>161</v>
      </c>
      <c r="N702" t="s">
        <v>153</v>
      </c>
    </row>
    <row r="703" spans="1:14" x14ac:dyDescent="0.25">
      <c r="A703" t="s">
        <v>117</v>
      </c>
      <c r="B703" t="s">
        <v>111</v>
      </c>
      <c r="C703" s="1">
        <v>42729</v>
      </c>
      <c r="D703" t="s">
        <v>131</v>
      </c>
      <c r="E703">
        <v>2</v>
      </c>
      <c r="F703" s="12">
        <v>116</v>
      </c>
      <c r="G703">
        <v>269</v>
      </c>
      <c r="H703" s="13">
        <v>31174.53</v>
      </c>
      <c r="I703" s="1">
        <v>43041</v>
      </c>
      <c r="J703">
        <v>11</v>
      </c>
      <c r="K703">
        <v>291</v>
      </c>
      <c r="L703">
        <v>59</v>
      </c>
      <c r="M703" t="s">
        <v>159</v>
      </c>
      <c r="N703" t="s">
        <v>154</v>
      </c>
    </row>
    <row r="704" spans="1:14" x14ac:dyDescent="0.25">
      <c r="A704" t="s">
        <v>93</v>
      </c>
      <c r="B704" t="s">
        <v>94</v>
      </c>
      <c r="C704" s="1">
        <v>43618</v>
      </c>
      <c r="D704" t="s">
        <v>131</v>
      </c>
      <c r="E704">
        <v>2</v>
      </c>
      <c r="F704" s="12">
        <v>116</v>
      </c>
      <c r="G704">
        <v>399</v>
      </c>
      <c r="H704" s="13">
        <v>46254.53</v>
      </c>
      <c r="I704" s="1">
        <v>43953</v>
      </c>
      <c r="J704">
        <v>5</v>
      </c>
      <c r="K704">
        <v>249</v>
      </c>
      <c r="L704">
        <v>46</v>
      </c>
      <c r="M704" t="s">
        <v>163</v>
      </c>
      <c r="N704" t="s">
        <v>154</v>
      </c>
    </row>
    <row r="705" spans="1:14" x14ac:dyDescent="0.25">
      <c r="A705" t="s">
        <v>32</v>
      </c>
      <c r="B705" t="s">
        <v>28</v>
      </c>
      <c r="C705" s="1">
        <v>43161</v>
      </c>
      <c r="D705" t="s">
        <v>131</v>
      </c>
      <c r="E705">
        <v>2</v>
      </c>
      <c r="F705" s="12">
        <v>116</v>
      </c>
      <c r="G705">
        <v>394</v>
      </c>
      <c r="H705" s="13">
        <v>45674.53</v>
      </c>
      <c r="I705" s="1">
        <v>44059</v>
      </c>
      <c r="J705">
        <v>8</v>
      </c>
      <c r="K705">
        <v>394</v>
      </c>
      <c r="L705">
        <v>58</v>
      </c>
      <c r="M705" t="s">
        <v>159</v>
      </c>
      <c r="N705" t="s">
        <v>154</v>
      </c>
    </row>
    <row r="706" spans="1:14" x14ac:dyDescent="0.25">
      <c r="A706" t="s">
        <v>31</v>
      </c>
      <c r="B706" t="s">
        <v>27</v>
      </c>
      <c r="C706" s="1">
        <v>42433</v>
      </c>
      <c r="D706" t="s">
        <v>131</v>
      </c>
      <c r="E706">
        <v>2</v>
      </c>
      <c r="F706" s="12">
        <v>116</v>
      </c>
      <c r="G706">
        <v>346</v>
      </c>
      <c r="H706" s="13">
        <v>40106.53</v>
      </c>
      <c r="I706" s="1">
        <v>43714</v>
      </c>
      <c r="J706">
        <v>9</v>
      </c>
      <c r="K706">
        <v>245</v>
      </c>
      <c r="L706">
        <v>25</v>
      </c>
      <c r="M706" t="s">
        <v>160</v>
      </c>
      <c r="N706" t="s">
        <v>153</v>
      </c>
    </row>
    <row r="707" spans="1:14" x14ac:dyDescent="0.25">
      <c r="A707" t="s">
        <v>41</v>
      </c>
      <c r="B707" t="s">
        <v>36</v>
      </c>
      <c r="C707" s="1">
        <v>42880</v>
      </c>
      <c r="D707" t="s">
        <v>131</v>
      </c>
      <c r="E707">
        <v>2</v>
      </c>
      <c r="F707" s="12">
        <v>116</v>
      </c>
      <c r="G707">
        <v>759</v>
      </c>
      <c r="H707" s="13">
        <v>88014.53</v>
      </c>
      <c r="I707" s="1">
        <v>43203</v>
      </c>
      <c r="J707">
        <v>4</v>
      </c>
      <c r="K707">
        <v>592</v>
      </c>
      <c r="L707">
        <v>35</v>
      </c>
      <c r="M707" t="s">
        <v>164</v>
      </c>
      <c r="N707" t="s">
        <v>154</v>
      </c>
    </row>
    <row r="708" spans="1:14" x14ac:dyDescent="0.25">
      <c r="A708" t="s">
        <v>104</v>
      </c>
      <c r="B708" t="s">
        <v>101</v>
      </c>
      <c r="C708" s="1">
        <v>43296</v>
      </c>
      <c r="D708" t="s">
        <v>131</v>
      </c>
      <c r="E708">
        <v>2</v>
      </c>
      <c r="F708" s="12">
        <v>116</v>
      </c>
      <c r="G708">
        <v>415</v>
      </c>
      <c r="H708" s="13">
        <v>48110.53</v>
      </c>
      <c r="I708" s="1">
        <v>44177</v>
      </c>
      <c r="J708">
        <v>12</v>
      </c>
      <c r="K708">
        <v>462</v>
      </c>
      <c r="L708">
        <v>64</v>
      </c>
      <c r="M708" t="s">
        <v>157</v>
      </c>
      <c r="N708" t="s">
        <v>154</v>
      </c>
    </row>
    <row r="709" spans="1:14" x14ac:dyDescent="0.25">
      <c r="A709" t="s">
        <v>40</v>
      </c>
      <c r="B709" t="s">
        <v>0</v>
      </c>
      <c r="C709" s="1">
        <v>43287</v>
      </c>
      <c r="D709" t="s">
        <v>131</v>
      </c>
      <c r="E709">
        <v>2</v>
      </c>
      <c r="F709" s="12">
        <v>116</v>
      </c>
      <c r="G709">
        <v>730</v>
      </c>
      <c r="H709" s="13">
        <v>84650.53</v>
      </c>
      <c r="I709" s="1">
        <v>43989</v>
      </c>
      <c r="J709">
        <v>6</v>
      </c>
      <c r="K709">
        <v>458</v>
      </c>
      <c r="L709">
        <v>54</v>
      </c>
      <c r="M709" t="s">
        <v>156</v>
      </c>
      <c r="N709" t="s">
        <v>154</v>
      </c>
    </row>
    <row r="710" spans="1:14" x14ac:dyDescent="0.25">
      <c r="A710" t="s">
        <v>34</v>
      </c>
      <c r="B710" t="s">
        <v>30</v>
      </c>
      <c r="C710" s="1">
        <v>43765</v>
      </c>
      <c r="D710" t="s">
        <v>131</v>
      </c>
      <c r="E710">
        <v>2</v>
      </c>
      <c r="F710" s="12">
        <v>116</v>
      </c>
      <c r="G710">
        <v>530</v>
      </c>
      <c r="H710" s="13">
        <v>61450.53</v>
      </c>
      <c r="I710" s="1">
        <v>44195</v>
      </c>
      <c r="J710">
        <v>12</v>
      </c>
      <c r="K710">
        <v>479</v>
      </c>
      <c r="L710">
        <v>51</v>
      </c>
      <c r="M710" t="s">
        <v>156</v>
      </c>
      <c r="N710" t="s">
        <v>154</v>
      </c>
    </row>
    <row r="711" spans="1:14" x14ac:dyDescent="0.25">
      <c r="A711" t="s">
        <v>91</v>
      </c>
      <c r="B711" t="s">
        <v>87</v>
      </c>
      <c r="C711" s="1">
        <v>43557</v>
      </c>
      <c r="D711" t="s">
        <v>131</v>
      </c>
      <c r="E711">
        <v>2</v>
      </c>
      <c r="F711" s="12">
        <v>116</v>
      </c>
      <c r="G711">
        <v>762</v>
      </c>
      <c r="H711" s="13">
        <v>88362.53</v>
      </c>
      <c r="I711" s="1">
        <v>44052</v>
      </c>
      <c r="J711">
        <v>8</v>
      </c>
      <c r="K711">
        <v>120</v>
      </c>
      <c r="L711">
        <v>54</v>
      </c>
      <c r="M711" t="s">
        <v>156</v>
      </c>
      <c r="N711" t="s">
        <v>154</v>
      </c>
    </row>
    <row r="712" spans="1:14" x14ac:dyDescent="0.25">
      <c r="A712" t="s">
        <v>41</v>
      </c>
      <c r="B712" t="s">
        <v>36</v>
      </c>
      <c r="C712" s="1">
        <v>42880</v>
      </c>
      <c r="D712" t="s">
        <v>131</v>
      </c>
      <c r="E712">
        <v>2</v>
      </c>
      <c r="F712" s="12">
        <v>116</v>
      </c>
      <c r="G712">
        <v>611</v>
      </c>
      <c r="H712" s="13">
        <v>70846.53</v>
      </c>
      <c r="I712" s="1">
        <v>43465</v>
      </c>
      <c r="J712">
        <v>12</v>
      </c>
      <c r="K712">
        <v>36</v>
      </c>
      <c r="L712">
        <v>30</v>
      </c>
      <c r="M712" t="s">
        <v>158</v>
      </c>
      <c r="N712" t="s">
        <v>153</v>
      </c>
    </row>
    <row r="713" spans="1:14" x14ac:dyDescent="0.25">
      <c r="A713" t="s">
        <v>62</v>
      </c>
      <c r="B713" t="s">
        <v>57</v>
      </c>
      <c r="C713" s="1">
        <v>43724</v>
      </c>
      <c r="D713" t="s">
        <v>131</v>
      </c>
      <c r="E713">
        <v>2</v>
      </c>
      <c r="F713" s="12">
        <v>116</v>
      </c>
      <c r="G713">
        <v>156</v>
      </c>
      <c r="H713" s="13">
        <v>18066.53</v>
      </c>
      <c r="I713" s="1">
        <v>43993</v>
      </c>
      <c r="J713">
        <v>6</v>
      </c>
      <c r="K713">
        <v>41</v>
      </c>
      <c r="L713">
        <v>54</v>
      </c>
      <c r="M713" t="s">
        <v>156</v>
      </c>
      <c r="N713" t="s">
        <v>154</v>
      </c>
    </row>
    <row r="714" spans="1:14" x14ac:dyDescent="0.25">
      <c r="A714" t="s">
        <v>74</v>
      </c>
      <c r="B714" t="s">
        <v>69</v>
      </c>
      <c r="C714" s="1">
        <v>42228</v>
      </c>
      <c r="D714" t="s">
        <v>131</v>
      </c>
      <c r="E714">
        <v>2</v>
      </c>
      <c r="F714" s="12">
        <v>116</v>
      </c>
      <c r="G714">
        <v>525</v>
      </c>
      <c r="H714" s="13">
        <v>60870.53</v>
      </c>
      <c r="I714" s="1">
        <v>42312</v>
      </c>
      <c r="J714">
        <v>11</v>
      </c>
      <c r="K714">
        <v>379</v>
      </c>
      <c r="L714">
        <v>30</v>
      </c>
      <c r="M714" t="s">
        <v>158</v>
      </c>
      <c r="N714" t="s">
        <v>154</v>
      </c>
    </row>
    <row r="715" spans="1:14" x14ac:dyDescent="0.25">
      <c r="A715" t="s">
        <v>90</v>
      </c>
      <c r="B715" t="s">
        <v>86</v>
      </c>
      <c r="C715" s="1">
        <v>43995</v>
      </c>
      <c r="D715" t="s">
        <v>131</v>
      </c>
      <c r="E715">
        <v>2</v>
      </c>
      <c r="F715" s="12">
        <v>116</v>
      </c>
      <c r="G715">
        <v>316</v>
      </c>
      <c r="H715" s="13">
        <v>36626.53</v>
      </c>
      <c r="I715" s="1">
        <v>44400</v>
      </c>
      <c r="J715">
        <v>7</v>
      </c>
      <c r="K715">
        <v>306</v>
      </c>
      <c r="L715">
        <v>55</v>
      </c>
      <c r="M715" t="s">
        <v>156</v>
      </c>
      <c r="N715" t="s">
        <v>154</v>
      </c>
    </row>
    <row r="716" spans="1:14" x14ac:dyDescent="0.25">
      <c r="A716" t="s">
        <v>103</v>
      </c>
      <c r="B716" t="s">
        <v>100</v>
      </c>
      <c r="C716" s="1">
        <v>42080</v>
      </c>
      <c r="D716" t="s">
        <v>131</v>
      </c>
      <c r="E716">
        <v>2</v>
      </c>
      <c r="F716" s="12">
        <v>116</v>
      </c>
      <c r="G716">
        <v>1651</v>
      </c>
      <c r="H716" s="13">
        <v>191486.53</v>
      </c>
      <c r="I716" s="1">
        <v>43915</v>
      </c>
      <c r="J716">
        <v>3</v>
      </c>
      <c r="K716">
        <v>457</v>
      </c>
      <c r="L716">
        <v>56</v>
      </c>
      <c r="M716" t="s">
        <v>159</v>
      </c>
      <c r="N716" t="s">
        <v>154</v>
      </c>
    </row>
    <row r="717" spans="1:14" x14ac:dyDescent="0.25">
      <c r="A717" t="s">
        <v>46</v>
      </c>
      <c r="B717" t="s">
        <v>39</v>
      </c>
      <c r="C717" s="1">
        <v>43490</v>
      </c>
      <c r="D717" t="s">
        <v>131</v>
      </c>
      <c r="E717">
        <v>2</v>
      </c>
      <c r="F717" s="12">
        <v>116</v>
      </c>
      <c r="G717">
        <v>224</v>
      </c>
      <c r="H717" s="13">
        <v>25954.53</v>
      </c>
      <c r="I717" s="1">
        <v>43953</v>
      </c>
      <c r="J717">
        <v>5</v>
      </c>
      <c r="K717">
        <v>164</v>
      </c>
      <c r="L717">
        <v>45</v>
      </c>
      <c r="M717" t="s">
        <v>162</v>
      </c>
      <c r="N717" t="s">
        <v>154</v>
      </c>
    </row>
    <row r="718" spans="1:14" x14ac:dyDescent="0.25">
      <c r="A718" t="s">
        <v>75</v>
      </c>
      <c r="B718" t="s">
        <v>76</v>
      </c>
      <c r="C718" s="1">
        <v>43003</v>
      </c>
      <c r="D718" t="s">
        <v>131</v>
      </c>
      <c r="E718">
        <v>2</v>
      </c>
      <c r="F718" s="12">
        <v>116</v>
      </c>
      <c r="G718">
        <v>266</v>
      </c>
      <c r="H718" s="13">
        <v>30826.53</v>
      </c>
      <c r="I718" s="1">
        <v>43828</v>
      </c>
      <c r="J718">
        <v>12</v>
      </c>
      <c r="K718">
        <v>8</v>
      </c>
      <c r="L718">
        <v>58</v>
      </c>
      <c r="M718" t="s">
        <v>159</v>
      </c>
      <c r="N718" t="s">
        <v>154</v>
      </c>
    </row>
    <row r="719" spans="1:14" x14ac:dyDescent="0.25">
      <c r="A719" t="s">
        <v>32</v>
      </c>
      <c r="B719" t="s">
        <v>28</v>
      </c>
      <c r="C719" s="1">
        <v>43161</v>
      </c>
      <c r="D719" t="s">
        <v>131</v>
      </c>
      <c r="E719">
        <v>2</v>
      </c>
      <c r="F719" s="12">
        <v>116</v>
      </c>
      <c r="G719">
        <v>593</v>
      </c>
      <c r="H719" s="13">
        <v>68758.53</v>
      </c>
      <c r="I719" s="1">
        <v>43258</v>
      </c>
      <c r="J719">
        <v>6</v>
      </c>
      <c r="K719">
        <v>406</v>
      </c>
      <c r="L719">
        <v>54</v>
      </c>
      <c r="M719" t="s">
        <v>156</v>
      </c>
      <c r="N719" t="s">
        <v>153</v>
      </c>
    </row>
    <row r="720" spans="1:14" x14ac:dyDescent="0.25">
      <c r="A720" t="s">
        <v>63</v>
      </c>
      <c r="B720" t="s">
        <v>58</v>
      </c>
      <c r="C720" s="1">
        <v>43155</v>
      </c>
      <c r="D720" t="s">
        <v>131</v>
      </c>
      <c r="E720">
        <v>2</v>
      </c>
      <c r="F720" s="12">
        <v>116</v>
      </c>
      <c r="G720">
        <v>235</v>
      </c>
      <c r="H720" s="13">
        <v>27230.53</v>
      </c>
      <c r="I720" s="1">
        <v>43721</v>
      </c>
      <c r="J720">
        <v>9</v>
      </c>
      <c r="K720">
        <v>212</v>
      </c>
      <c r="L720">
        <v>55</v>
      </c>
      <c r="M720" t="s">
        <v>156</v>
      </c>
      <c r="N720" t="s">
        <v>154</v>
      </c>
    </row>
    <row r="721" spans="1:14" x14ac:dyDescent="0.25">
      <c r="A721" t="s">
        <v>52</v>
      </c>
      <c r="B721" t="s">
        <v>50</v>
      </c>
      <c r="C721" s="1">
        <v>43917</v>
      </c>
      <c r="D721" t="s">
        <v>131</v>
      </c>
      <c r="E721">
        <v>2</v>
      </c>
      <c r="F721" s="12">
        <v>116</v>
      </c>
      <c r="G721">
        <v>278</v>
      </c>
      <c r="H721" s="13">
        <v>32218.53</v>
      </c>
      <c r="I721" s="1">
        <v>43978</v>
      </c>
      <c r="J721">
        <v>5</v>
      </c>
      <c r="K721">
        <v>339</v>
      </c>
      <c r="L721">
        <v>67</v>
      </c>
      <c r="M721" t="s">
        <v>165</v>
      </c>
      <c r="N721" t="s">
        <v>154</v>
      </c>
    </row>
    <row r="722" spans="1:14" x14ac:dyDescent="0.25">
      <c r="A722" t="s">
        <v>93</v>
      </c>
      <c r="B722" t="s">
        <v>94</v>
      </c>
      <c r="C722" s="1">
        <v>43618</v>
      </c>
      <c r="D722" t="s">
        <v>131</v>
      </c>
      <c r="E722">
        <v>2</v>
      </c>
      <c r="F722" s="12">
        <v>116</v>
      </c>
      <c r="G722">
        <v>766</v>
      </c>
      <c r="H722" s="13">
        <v>88826.53</v>
      </c>
      <c r="I722" s="1">
        <v>44317</v>
      </c>
      <c r="J722">
        <v>5</v>
      </c>
      <c r="K722">
        <v>465</v>
      </c>
      <c r="L722">
        <v>54</v>
      </c>
      <c r="M722" t="s">
        <v>156</v>
      </c>
      <c r="N722" t="s">
        <v>154</v>
      </c>
    </row>
    <row r="723" spans="1:14" x14ac:dyDescent="0.25">
      <c r="A723" t="s">
        <v>43</v>
      </c>
      <c r="B723" t="s">
        <v>37</v>
      </c>
      <c r="C723" s="1">
        <v>43490</v>
      </c>
      <c r="D723" t="s">
        <v>131</v>
      </c>
      <c r="E723">
        <v>2</v>
      </c>
      <c r="F723" s="12">
        <v>116</v>
      </c>
      <c r="G723">
        <v>990</v>
      </c>
      <c r="H723" s="13">
        <v>114810.53</v>
      </c>
      <c r="I723" s="1">
        <v>43517</v>
      </c>
      <c r="J723">
        <v>2</v>
      </c>
      <c r="K723">
        <v>558</v>
      </c>
      <c r="L723">
        <v>53</v>
      </c>
      <c r="M723" t="s">
        <v>156</v>
      </c>
      <c r="N723" t="s">
        <v>153</v>
      </c>
    </row>
    <row r="724" spans="1:14" x14ac:dyDescent="0.25">
      <c r="A724" t="s">
        <v>81</v>
      </c>
      <c r="B724" t="s">
        <v>78</v>
      </c>
      <c r="C724" s="1">
        <v>43932</v>
      </c>
      <c r="D724" t="s">
        <v>131</v>
      </c>
      <c r="E724">
        <v>2</v>
      </c>
      <c r="F724" s="12">
        <v>116</v>
      </c>
      <c r="G724">
        <v>729</v>
      </c>
      <c r="H724" s="13">
        <v>84534.53</v>
      </c>
      <c r="I724" s="1">
        <v>43946</v>
      </c>
      <c r="J724">
        <v>4</v>
      </c>
      <c r="K724">
        <v>21</v>
      </c>
      <c r="L724">
        <v>47</v>
      </c>
      <c r="M724" t="s">
        <v>163</v>
      </c>
      <c r="N724" t="s">
        <v>154</v>
      </c>
    </row>
    <row r="725" spans="1:14" x14ac:dyDescent="0.25">
      <c r="A725" t="s">
        <v>102</v>
      </c>
      <c r="B725" t="s">
        <v>99</v>
      </c>
      <c r="C725" s="1">
        <v>43488</v>
      </c>
      <c r="D725" t="s">
        <v>131</v>
      </c>
      <c r="E725">
        <v>2</v>
      </c>
      <c r="F725" s="12">
        <v>116</v>
      </c>
      <c r="G725">
        <v>777</v>
      </c>
      <c r="H725" s="13">
        <v>90102.53</v>
      </c>
      <c r="I725" s="1">
        <v>44444</v>
      </c>
      <c r="J725">
        <v>9</v>
      </c>
      <c r="K725">
        <v>51</v>
      </c>
      <c r="L725">
        <v>50</v>
      </c>
      <c r="M725" t="s">
        <v>163</v>
      </c>
      <c r="N725" t="s">
        <v>153</v>
      </c>
    </row>
    <row r="726" spans="1:14" x14ac:dyDescent="0.25">
      <c r="A726" t="s">
        <v>74</v>
      </c>
      <c r="B726" t="s">
        <v>69</v>
      </c>
      <c r="C726" s="1">
        <v>42228</v>
      </c>
      <c r="D726" t="s">
        <v>131</v>
      </c>
      <c r="E726">
        <v>2</v>
      </c>
      <c r="F726" s="12">
        <v>116</v>
      </c>
      <c r="G726">
        <v>146</v>
      </c>
      <c r="H726" s="13">
        <v>16906.53</v>
      </c>
      <c r="I726" s="1">
        <v>42998</v>
      </c>
      <c r="J726">
        <v>9</v>
      </c>
      <c r="K726">
        <v>244</v>
      </c>
      <c r="L726">
        <v>53</v>
      </c>
      <c r="M726" t="s">
        <v>156</v>
      </c>
      <c r="N726" t="s">
        <v>153</v>
      </c>
    </row>
    <row r="727" spans="1:14" x14ac:dyDescent="0.25">
      <c r="A727" t="s">
        <v>62</v>
      </c>
      <c r="B727" t="s">
        <v>57</v>
      </c>
      <c r="C727" s="1">
        <v>43724</v>
      </c>
      <c r="D727" t="s">
        <v>131</v>
      </c>
      <c r="E727">
        <v>2</v>
      </c>
      <c r="F727" s="12">
        <v>116</v>
      </c>
      <c r="G727">
        <v>1914</v>
      </c>
      <c r="H727" s="13">
        <v>221994.53</v>
      </c>
      <c r="I727" s="1">
        <v>43916</v>
      </c>
      <c r="J727">
        <v>3</v>
      </c>
      <c r="K727">
        <v>223</v>
      </c>
      <c r="L727">
        <v>59</v>
      </c>
      <c r="M727" t="s">
        <v>159</v>
      </c>
      <c r="N727" t="s">
        <v>153</v>
      </c>
    </row>
    <row r="728" spans="1:14" x14ac:dyDescent="0.25">
      <c r="A728" t="s">
        <v>72</v>
      </c>
      <c r="B728" t="s">
        <v>67</v>
      </c>
      <c r="C728" s="1">
        <v>43827</v>
      </c>
      <c r="D728" t="s">
        <v>131</v>
      </c>
      <c r="E728">
        <v>2</v>
      </c>
      <c r="F728" s="12">
        <v>116</v>
      </c>
      <c r="G728">
        <v>369</v>
      </c>
      <c r="H728" s="13">
        <v>42774.53</v>
      </c>
      <c r="I728" s="1">
        <v>44445</v>
      </c>
      <c r="J728">
        <v>9</v>
      </c>
      <c r="K728">
        <v>23</v>
      </c>
      <c r="L728">
        <v>48</v>
      </c>
      <c r="M728" t="s">
        <v>163</v>
      </c>
      <c r="N728" t="s">
        <v>154</v>
      </c>
    </row>
    <row r="729" spans="1:14" x14ac:dyDescent="0.25">
      <c r="A729" t="s">
        <v>47</v>
      </c>
      <c r="B729" t="s">
        <v>48</v>
      </c>
      <c r="C729" s="1">
        <v>42542</v>
      </c>
      <c r="D729" t="s">
        <v>131</v>
      </c>
      <c r="E729">
        <v>2</v>
      </c>
      <c r="F729" s="12">
        <v>116</v>
      </c>
      <c r="G729">
        <v>782</v>
      </c>
      <c r="H729" s="13">
        <v>90682.53</v>
      </c>
      <c r="I729" s="1">
        <v>42703</v>
      </c>
      <c r="J729">
        <v>11</v>
      </c>
      <c r="K729">
        <v>116</v>
      </c>
      <c r="L729">
        <v>65</v>
      </c>
      <c r="M729" t="s">
        <v>157</v>
      </c>
      <c r="N729" t="s">
        <v>154</v>
      </c>
    </row>
    <row r="730" spans="1:14" x14ac:dyDescent="0.25">
      <c r="A730" t="s">
        <v>118</v>
      </c>
      <c r="B730" t="s">
        <v>112</v>
      </c>
      <c r="C730" s="1">
        <v>43001</v>
      </c>
      <c r="D730" t="s">
        <v>131</v>
      </c>
      <c r="E730">
        <v>2</v>
      </c>
      <c r="F730" s="12">
        <v>116</v>
      </c>
      <c r="G730">
        <v>702</v>
      </c>
      <c r="H730" s="13">
        <v>81402.53</v>
      </c>
      <c r="I730" s="1">
        <v>44223</v>
      </c>
      <c r="J730">
        <v>1</v>
      </c>
      <c r="K730">
        <v>154</v>
      </c>
      <c r="L730">
        <v>35</v>
      </c>
      <c r="M730" t="s">
        <v>164</v>
      </c>
      <c r="N730" t="s">
        <v>153</v>
      </c>
    </row>
    <row r="731" spans="1:14" x14ac:dyDescent="0.25">
      <c r="A731" t="s">
        <v>63</v>
      </c>
      <c r="B731" t="s">
        <v>58</v>
      </c>
      <c r="C731" s="1">
        <v>43155</v>
      </c>
      <c r="D731" t="s">
        <v>131</v>
      </c>
      <c r="E731">
        <v>2</v>
      </c>
      <c r="F731" s="12">
        <v>116</v>
      </c>
      <c r="G731">
        <v>761</v>
      </c>
      <c r="H731" s="13">
        <v>88246.53</v>
      </c>
      <c r="I731" s="1">
        <v>44087</v>
      </c>
      <c r="J731">
        <v>9</v>
      </c>
      <c r="K731">
        <v>114</v>
      </c>
      <c r="L731">
        <v>40</v>
      </c>
      <c r="M731" t="s">
        <v>161</v>
      </c>
      <c r="N731" t="s">
        <v>153</v>
      </c>
    </row>
    <row r="732" spans="1:14" x14ac:dyDescent="0.25">
      <c r="A732" t="s">
        <v>97</v>
      </c>
      <c r="B732" t="s">
        <v>98</v>
      </c>
      <c r="C732" s="1">
        <v>42388</v>
      </c>
      <c r="D732" t="s">
        <v>131</v>
      </c>
      <c r="E732">
        <v>2</v>
      </c>
      <c r="F732" s="12">
        <v>116</v>
      </c>
      <c r="G732">
        <v>413</v>
      </c>
      <c r="H732" s="13">
        <v>47878.53</v>
      </c>
      <c r="I732" s="1">
        <v>44038</v>
      </c>
      <c r="J732">
        <v>7</v>
      </c>
      <c r="K732">
        <v>600</v>
      </c>
      <c r="L732">
        <v>57</v>
      </c>
      <c r="M732" t="s">
        <v>159</v>
      </c>
      <c r="N732" t="s">
        <v>154</v>
      </c>
    </row>
    <row r="733" spans="1:14" x14ac:dyDescent="0.25">
      <c r="A733" t="s">
        <v>93</v>
      </c>
      <c r="B733" t="s">
        <v>94</v>
      </c>
      <c r="C733" s="1">
        <v>43618</v>
      </c>
      <c r="D733" t="s">
        <v>131</v>
      </c>
      <c r="E733">
        <v>2</v>
      </c>
      <c r="F733" s="12">
        <v>116</v>
      </c>
      <c r="G733">
        <v>538</v>
      </c>
      <c r="H733" s="13">
        <v>62378.53</v>
      </c>
      <c r="I733" s="1">
        <v>44195</v>
      </c>
      <c r="J733">
        <v>12</v>
      </c>
      <c r="K733">
        <v>600</v>
      </c>
      <c r="L733">
        <v>57</v>
      </c>
      <c r="M733" t="s">
        <v>159</v>
      </c>
      <c r="N733" t="s">
        <v>154</v>
      </c>
    </row>
    <row r="734" spans="1:14" x14ac:dyDescent="0.25">
      <c r="A734" t="s">
        <v>52</v>
      </c>
      <c r="B734" t="s">
        <v>50</v>
      </c>
      <c r="C734" s="1">
        <v>43917</v>
      </c>
      <c r="D734" t="s">
        <v>131</v>
      </c>
      <c r="E734">
        <v>2</v>
      </c>
      <c r="F734" s="12">
        <v>116</v>
      </c>
      <c r="G734">
        <v>639</v>
      </c>
      <c r="H734" s="13">
        <v>74094.53</v>
      </c>
      <c r="I734" s="1">
        <v>44001</v>
      </c>
      <c r="J734">
        <v>6</v>
      </c>
      <c r="K734">
        <v>526</v>
      </c>
      <c r="L734">
        <v>60</v>
      </c>
      <c r="M734" t="s">
        <v>159</v>
      </c>
      <c r="N734" t="s">
        <v>154</v>
      </c>
    </row>
    <row r="735" spans="1:14" x14ac:dyDescent="0.25">
      <c r="A735" t="s">
        <v>82</v>
      </c>
      <c r="B735" t="s">
        <v>79</v>
      </c>
      <c r="C735" s="1">
        <v>43278</v>
      </c>
      <c r="D735" t="s">
        <v>131</v>
      </c>
      <c r="E735">
        <v>2</v>
      </c>
      <c r="F735" s="12">
        <v>116</v>
      </c>
      <c r="G735">
        <v>714</v>
      </c>
      <c r="H735" s="13">
        <v>82794.53</v>
      </c>
      <c r="I735" s="1">
        <v>43366</v>
      </c>
      <c r="J735">
        <v>9</v>
      </c>
      <c r="K735">
        <v>53</v>
      </c>
      <c r="L735">
        <v>55</v>
      </c>
      <c r="M735" t="s">
        <v>156</v>
      </c>
      <c r="N735" t="s">
        <v>154</v>
      </c>
    </row>
    <row r="736" spans="1:14" x14ac:dyDescent="0.25">
      <c r="A736" t="s">
        <v>93</v>
      </c>
      <c r="B736" t="s">
        <v>94</v>
      </c>
      <c r="C736" s="1">
        <v>43618</v>
      </c>
      <c r="D736" t="s">
        <v>131</v>
      </c>
      <c r="E736">
        <v>2</v>
      </c>
      <c r="F736" s="12">
        <v>116</v>
      </c>
      <c r="G736">
        <v>1668</v>
      </c>
      <c r="H736" s="13">
        <v>193458.53</v>
      </c>
      <c r="I736" s="1">
        <v>44285</v>
      </c>
      <c r="J736">
        <v>3</v>
      </c>
      <c r="K736">
        <v>577</v>
      </c>
      <c r="L736">
        <v>55</v>
      </c>
      <c r="M736" t="s">
        <v>156</v>
      </c>
      <c r="N736" t="s">
        <v>153</v>
      </c>
    </row>
    <row r="737" spans="1:14" x14ac:dyDescent="0.25">
      <c r="A737" t="s">
        <v>80</v>
      </c>
      <c r="B737" t="s">
        <v>77</v>
      </c>
      <c r="C737" s="1">
        <v>43282</v>
      </c>
      <c r="D737" t="s">
        <v>131</v>
      </c>
      <c r="E737">
        <v>2</v>
      </c>
      <c r="F737" s="12">
        <v>116</v>
      </c>
      <c r="G737">
        <v>645</v>
      </c>
      <c r="H737" s="13">
        <v>74790.53</v>
      </c>
      <c r="I737" s="1">
        <v>43666</v>
      </c>
      <c r="J737">
        <v>7</v>
      </c>
      <c r="K737">
        <v>105</v>
      </c>
      <c r="L737">
        <v>52</v>
      </c>
      <c r="M737" t="s">
        <v>156</v>
      </c>
      <c r="N737" t="s">
        <v>153</v>
      </c>
    </row>
    <row r="738" spans="1:14" x14ac:dyDescent="0.25">
      <c r="A738" t="s">
        <v>74</v>
      </c>
      <c r="B738" t="s">
        <v>69</v>
      </c>
      <c r="C738" s="1">
        <v>42228</v>
      </c>
      <c r="D738" t="s">
        <v>131</v>
      </c>
      <c r="E738">
        <v>2</v>
      </c>
      <c r="F738" s="12">
        <v>116</v>
      </c>
      <c r="G738">
        <v>221</v>
      </c>
      <c r="H738" s="13">
        <v>25606.53</v>
      </c>
      <c r="I738" s="1">
        <v>43230</v>
      </c>
      <c r="J738">
        <v>5</v>
      </c>
      <c r="K738">
        <v>91</v>
      </c>
      <c r="L738">
        <v>65</v>
      </c>
      <c r="M738" t="s">
        <v>157</v>
      </c>
      <c r="N738" t="s">
        <v>154</v>
      </c>
    </row>
    <row r="739" spans="1:14" x14ac:dyDescent="0.25">
      <c r="A739" t="s">
        <v>97</v>
      </c>
      <c r="B739" t="s">
        <v>98</v>
      </c>
      <c r="C739" s="1">
        <v>42388</v>
      </c>
      <c r="D739" t="s">
        <v>131</v>
      </c>
      <c r="E739">
        <v>2</v>
      </c>
      <c r="F739" s="12">
        <v>116</v>
      </c>
      <c r="G739">
        <v>1691</v>
      </c>
      <c r="H739" s="13">
        <v>196126.53</v>
      </c>
      <c r="I739" s="1">
        <v>43569</v>
      </c>
      <c r="J739">
        <v>4</v>
      </c>
      <c r="K739">
        <v>98</v>
      </c>
      <c r="L739">
        <v>58</v>
      </c>
      <c r="M739" t="s">
        <v>159</v>
      </c>
      <c r="N739" t="s">
        <v>154</v>
      </c>
    </row>
    <row r="740" spans="1:14" x14ac:dyDescent="0.25">
      <c r="A740" t="s">
        <v>32</v>
      </c>
      <c r="B740" t="s">
        <v>28</v>
      </c>
      <c r="C740" s="1">
        <v>43161</v>
      </c>
      <c r="D740" t="s">
        <v>131</v>
      </c>
      <c r="E740">
        <v>2</v>
      </c>
      <c r="F740" s="12">
        <v>116</v>
      </c>
      <c r="G740">
        <v>424</v>
      </c>
      <c r="H740" s="13">
        <v>49154.53</v>
      </c>
      <c r="I740" s="1">
        <v>43393</v>
      </c>
      <c r="J740">
        <v>10</v>
      </c>
      <c r="K740">
        <v>282</v>
      </c>
      <c r="L740">
        <v>58</v>
      </c>
      <c r="M740" t="s">
        <v>159</v>
      </c>
      <c r="N740" t="s">
        <v>154</v>
      </c>
    </row>
    <row r="741" spans="1:14" x14ac:dyDescent="0.25">
      <c r="A741" t="s">
        <v>91</v>
      </c>
      <c r="B741" t="s">
        <v>87</v>
      </c>
      <c r="C741" s="1">
        <v>43557</v>
      </c>
      <c r="D741" t="s">
        <v>131</v>
      </c>
      <c r="E741">
        <v>2</v>
      </c>
      <c r="F741" s="12">
        <v>116</v>
      </c>
      <c r="G741">
        <v>469</v>
      </c>
      <c r="H741" s="13">
        <v>54374.53</v>
      </c>
      <c r="I741" s="1">
        <v>44149</v>
      </c>
      <c r="J741">
        <v>11</v>
      </c>
      <c r="K741">
        <v>216</v>
      </c>
      <c r="L741">
        <v>54</v>
      </c>
      <c r="M741" t="s">
        <v>156</v>
      </c>
      <c r="N741" t="s">
        <v>154</v>
      </c>
    </row>
    <row r="742" spans="1:14" x14ac:dyDescent="0.25">
      <c r="A742" t="s">
        <v>75</v>
      </c>
      <c r="B742" t="s">
        <v>76</v>
      </c>
      <c r="C742" s="1">
        <v>43003</v>
      </c>
      <c r="D742" t="s">
        <v>131</v>
      </c>
      <c r="E742">
        <v>2</v>
      </c>
      <c r="F742" s="12">
        <v>116</v>
      </c>
      <c r="G742">
        <v>765</v>
      </c>
      <c r="H742" s="13">
        <v>88710.53</v>
      </c>
      <c r="I742" s="1">
        <v>43708</v>
      </c>
      <c r="J742">
        <v>8</v>
      </c>
      <c r="K742">
        <v>292</v>
      </c>
      <c r="L742">
        <v>52</v>
      </c>
      <c r="M742" t="s">
        <v>156</v>
      </c>
      <c r="N742" t="s">
        <v>154</v>
      </c>
    </row>
    <row r="743" spans="1:14" x14ac:dyDescent="0.25">
      <c r="A743" t="s">
        <v>72</v>
      </c>
      <c r="B743" t="s">
        <v>67</v>
      </c>
      <c r="C743" s="1">
        <v>43827</v>
      </c>
      <c r="D743" t="s">
        <v>131</v>
      </c>
      <c r="E743">
        <v>2</v>
      </c>
      <c r="F743" s="12">
        <v>116</v>
      </c>
      <c r="G743">
        <v>635</v>
      </c>
      <c r="H743" s="13">
        <v>73630.53</v>
      </c>
      <c r="I743" s="1">
        <v>43945</v>
      </c>
      <c r="J743">
        <v>4</v>
      </c>
      <c r="K743">
        <v>393</v>
      </c>
      <c r="L743">
        <v>25</v>
      </c>
      <c r="M743" t="s">
        <v>160</v>
      </c>
      <c r="N743" t="s">
        <v>153</v>
      </c>
    </row>
    <row r="744" spans="1:14" x14ac:dyDescent="0.25">
      <c r="A744" t="s">
        <v>64</v>
      </c>
      <c r="B744" t="s">
        <v>59</v>
      </c>
      <c r="C744" s="1">
        <v>43153</v>
      </c>
      <c r="D744" t="s">
        <v>131</v>
      </c>
      <c r="E744">
        <v>2</v>
      </c>
      <c r="F744" s="12">
        <v>116</v>
      </c>
      <c r="G744">
        <v>1607</v>
      </c>
      <c r="H744" s="13">
        <v>186382.53</v>
      </c>
      <c r="I744" s="1">
        <v>43547</v>
      </c>
      <c r="J744">
        <v>3</v>
      </c>
      <c r="K744">
        <v>356</v>
      </c>
      <c r="L744">
        <v>58</v>
      </c>
      <c r="M744" t="s">
        <v>159</v>
      </c>
      <c r="N744" t="s">
        <v>154</v>
      </c>
    </row>
    <row r="745" spans="1:14" x14ac:dyDescent="0.25">
      <c r="A745" t="s">
        <v>33</v>
      </c>
      <c r="B745" t="s">
        <v>29</v>
      </c>
      <c r="C745" s="1">
        <v>42795</v>
      </c>
      <c r="D745" t="s">
        <v>131</v>
      </c>
      <c r="E745">
        <v>2</v>
      </c>
      <c r="F745" s="12">
        <v>116</v>
      </c>
      <c r="G745">
        <v>708</v>
      </c>
      <c r="H745" s="13">
        <v>82098.53</v>
      </c>
      <c r="I745" s="1">
        <v>43271</v>
      </c>
      <c r="J745">
        <v>6</v>
      </c>
      <c r="K745">
        <v>159</v>
      </c>
      <c r="L745">
        <v>70</v>
      </c>
      <c r="M745" t="s">
        <v>165</v>
      </c>
      <c r="N745" t="s">
        <v>154</v>
      </c>
    </row>
    <row r="746" spans="1:14" x14ac:dyDescent="0.25">
      <c r="A746" t="s">
        <v>70</v>
      </c>
      <c r="B746" t="s">
        <v>65</v>
      </c>
      <c r="C746" s="1">
        <v>43523</v>
      </c>
      <c r="D746" t="s">
        <v>131</v>
      </c>
      <c r="E746">
        <v>2</v>
      </c>
      <c r="F746" s="12">
        <v>116</v>
      </c>
      <c r="G746">
        <v>1378</v>
      </c>
      <c r="H746" s="13">
        <v>159818.53</v>
      </c>
      <c r="I746" s="1">
        <v>43559</v>
      </c>
      <c r="J746">
        <v>4</v>
      </c>
      <c r="K746">
        <v>555</v>
      </c>
      <c r="L746">
        <v>35</v>
      </c>
      <c r="M746" t="s">
        <v>164</v>
      </c>
      <c r="N746" t="s">
        <v>153</v>
      </c>
    </row>
    <row r="747" spans="1:14" x14ac:dyDescent="0.25">
      <c r="A747" t="s">
        <v>71</v>
      </c>
      <c r="B747" t="s">
        <v>66</v>
      </c>
      <c r="C747" s="1">
        <v>43621</v>
      </c>
      <c r="D747" t="s">
        <v>131</v>
      </c>
      <c r="E747">
        <v>2</v>
      </c>
      <c r="F747" s="12">
        <v>116</v>
      </c>
      <c r="G747">
        <v>192</v>
      </c>
      <c r="H747" s="13">
        <v>22242.53</v>
      </c>
      <c r="I747" s="1">
        <v>43703</v>
      </c>
      <c r="J747">
        <v>8</v>
      </c>
      <c r="K747">
        <v>280</v>
      </c>
      <c r="L747">
        <v>60</v>
      </c>
      <c r="M747" t="s">
        <v>159</v>
      </c>
      <c r="N747" t="s">
        <v>153</v>
      </c>
    </row>
    <row r="748" spans="1:14" x14ac:dyDescent="0.25">
      <c r="A748" t="s">
        <v>53</v>
      </c>
      <c r="B748" t="s">
        <v>54</v>
      </c>
      <c r="C748" s="1">
        <v>42816</v>
      </c>
      <c r="D748" t="s">
        <v>131</v>
      </c>
      <c r="E748">
        <v>2</v>
      </c>
      <c r="F748" s="12">
        <v>116</v>
      </c>
      <c r="G748">
        <v>182</v>
      </c>
      <c r="H748" s="13">
        <v>21082.53</v>
      </c>
      <c r="I748" s="1">
        <v>43785</v>
      </c>
      <c r="J748">
        <v>11</v>
      </c>
      <c r="K748">
        <v>375</v>
      </c>
      <c r="L748">
        <v>54</v>
      </c>
      <c r="M748" t="s">
        <v>156</v>
      </c>
      <c r="N748" t="s">
        <v>153</v>
      </c>
    </row>
    <row r="749" spans="1:14" x14ac:dyDescent="0.25">
      <c r="A749" t="s">
        <v>95</v>
      </c>
      <c r="B749" t="s">
        <v>96</v>
      </c>
      <c r="C749" s="1">
        <v>43758</v>
      </c>
      <c r="D749" t="s">
        <v>131</v>
      </c>
      <c r="E749">
        <v>2</v>
      </c>
      <c r="F749" s="12">
        <v>116</v>
      </c>
      <c r="G749">
        <v>357</v>
      </c>
      <c r="H749" s="13">
        <v>41382.53</v>
      </c>
      <c r="I749" s="1">
        <v>44129</v>
      </c>
      <c r="J749">
        <v>10</v>
      </c>
      <c r="K749">
        <v>372</v>
      </c>
      <c r="L749">
        <v>58</v>
      </c>
      <c r="M749" t="s">
        <v>159</v>
      </c>
      <c r="N749" t="s">
        <v>154</v>
      </c>
    </row>
    <row r="750" spans="1:14" x14ac:dyDescent="0.25">
      <c r="A750" t="s">
        <v>73</v>
      </c>
      <c r="B750" t="s">
        <v>68</v>
      </c>
      <c r="C750" s="1">
        <v>43097</v>
      </c>
      <c r="D750" t="s">
        <v>131</v>
      </c>
      <c r="E750">
        <v>2</v>
      </c>
      <c r="F750" s="12">
        <v>116</v>
      </c>
      <c r="G750">
        <v>436</v>
      </c>
      <c r="H750" s="13">
        <v>50546.53</v>
      </c>
      <c r="I750" s="1">
        <v>43129</v>
      </c>
      <c r="J750">
        <v>1</v>
      </c>
      <c r="K750">
        <v>174</v>
      </c>
      <c r="L750">
        <v>40</v>
      </c>
      <c r="M750" t="s">
        <v>161</v>
      </c>
      <c r="N750" t="s">
        <v>153</v>
      </c>
    </row>
    <row r="751" spans="1:14" x14ac:dyDescent="0.25">
      <c r="A751" t="s">
        <v>93</v>
      </c>
      <c r="B751" t="s">
        <v>94</v>
      </c>
      <c r="C751" s="1">
        <v>43618</v>
      </c>
      <c r="D751" t="s">
        <v>131</v>
      </c>
      <c r="E751">
        <v>2</v>
      </c>
      <c r="F751" s="12">
        <v>116</v>
      </c>
      <c r="G751">
        <v>244</v>
      </c>
      <c r="H751" s="13">
        <v>28274.53</v>
      </c>
      <c r="I751" s="1">
        <v>43805</v>
      </c>
      <c r="J751">
        <v>12</v>
      </c>
      <c r="K751">
        <v>505</v>
      </c>
      <c r="L751">
        <v>68</v>
      </c>
      <c r="M751" t="s">
        <v>165</v>
      </c>
      <c r="N751" t="s">
        <v>154</v>
      </c>
    </row>
    <row r="752" spans="1:14" x14ac:dyDescent="0.25">
      <c r="A752" t="s">
        <v>43</v>
      </c>
      <c r="B752" t="s">
        <v>37</v>
      </c>
      <c r="C752" s="1">
        <v>43490</v>
      </c>
      <c r="D752" t="s">
        <v>131</v>
      </c>
      <c r="E752">
        <v>2</v>
      </c>
      <c r="F752" s="12">
        <v>116</v>
      </c>
      <c r="G752">
        <v>1266</v>
      </c>
      <c r="H752" s="13">
        <v>146826.53</v>
      </c>
      <c r="I752" s="1">
        <v>43881</v>
      </c>
      <c r="J752">
        <v>2</v>
      </c>
      <c r="K752">
        <v>406</v>
      </c>
      <c r="L752">
        <v>54</v>
      </c>
      <c r="M752" t="s">
        <v>156</v>
      </c>
      <c r="N752" t="s">
        <v>153</v>
      </c>
    </row>
    <row r="753" spans="1:14" x14ac:dyDescent="0.25">
      <c r="A753" t="s">
        <v>31</v>
      </c>
      <c r="B753" t="s">
        <v>27</v>
      </c>
      <c r="C753" s="1">
        <v>42433</v>
      </c>
      <c r="D753" t="s">
        <v>131</v>
      </c>
      <c r="E753">
        <v>2</v>
      </c>
      <c r="F753" s="12">
        <v>116</v>
      </c>
      <c r="G753">
        <v>647</v>
      </c>
      <c r="H753" s="13">
        <v>75000.05</v>
      </c>
      <c r="I753" s="1">
        <v>43112</v>
      </c>
      <c r="J753">
        <v>1</v>
      </c>
      <c r="K753">
        <v>400</v>
      </c>
      <c r="L753">
        <v>60</v>
      </c>
      <c r="M753" t="s">
        <v>159</v>
      </c>
      <c r="N753" t="s">
        <v>153</v>
      </c>
    </row>
    <row r="754" spans="1:14" x14ac:dyDescent="0.25">
      <c r="A754" t="s">
        <v>35</v>
      </c>
      <c r="B754" t="s">
        <v>3</v>
      </c>
      <c r="C754" s="1">
        <v>42465</v>
      </c>
      <c r="D754" t="s">
        <v>133</v>
      </c>
      <c r="E754">
        <v>1</v>
      </c>
      <c r="F754" s="12">
        <v>190</v>
      </c>
      <c r="G754">
        <v>224</v>
      </c>
      <c r="H754" s="13">
        <v>42508.05</v>
      </c>
      <c r="I754" s="1">
        <v>42603</v>
      </c>
      <c r="J754">
        <v>8</v>
      </c>
      <c r="K754">
        <v>600</v>
      </c>
      <c r="L754">
        <v>57</v>
      </c>
      <c r="M754" t="s">
        <v>159</v>
      </c>
      <c r="N754" t="s">
        <v>154</v>
      </c>
    </row>
    <row r="755" spans="1:14" x14ac:dyDescent="0.25">
      <c r="A755" t="s">
        <v>42</v>
      </c>
      <c r="B755" t="s">
        <v>1</v>
      </c>
      <c r="C755" s="1">
        <v>43712</v>
      </c>
      <c r="D755" t="s">
        <v>133</v>
      </c>
      <c r="E755">
        <v>1</v>
      </c>
      <c r="F755" s="12">
        <v>190</v>
      </c>
      <c r="G755">
        <v>1038</v>
      </c>
      <c r="H755" s="13">
        <v>197168.05</v>
      </c>
      <c r="I755" s="1">
        <v>44284</v>
      </c>
      <c r="J755">
        <v>3</v>
      </c>
      <c r="K755">
        <v>97</v>
      </c>
      <c r="L755">
        <v>26</v>
      </c>
      <c r="M755" t="s">
        <v>158</v>
      </c>
      <c r="N755" t="s">
        <v>154</v>
      </c>
    </row>
    <row r="756" spans="1:14" x14ac:dyDescent="0.25">
      <c r="A756" t="s">
        <v>82</v>
      </c>
      <c r="B756" t="s">
        <v>79</v>
      </c>
      <c r="C756" s="1">
        <v>43278</v>
      </c>
      <c r="D756" t="s">
        <v>133</v>
      </c>
      <c r="E756">
        <v>1</v>
      </c>
      <c r="F756" s="12">
        <v>190</v>
      </c>
      <c r="G756">
        <v>794</v>
      </c>
      <c r="H756" s="13">
        <v>150808.04999999999</v>
      </c>
      <c r="I756" s="1">
        <v>43846</v>
      </c>
      <c r="J756">
        <v>1</v>
      </c>
      <c r="K756">
        <v>304</v>
      </c>
      <c r="L756">
        <v>20</v>
      </c>
      <c r="M756" t="s">
        <v>160</v>
      </c>
      <c r="N756" t="s">
        <v>153</v>
      </c>
    </row>
    <row r="757" spans="1:14" x14ac:dyDescent="0.25">
      <c r="A757" t="s">
        <v>118</v>
      </c>
      <c r="B757" t="s">
        <v>112</v>
      </c>
      <c r="C757" s="1">
        <v>43001</v>
      </c>
      <c r="D757" t="s">
        <v>133</v>
      </c>
      <c r="E757">
        <v>1</v>
      </c>
      <c r="F757" s="12">
        <v>190</v>
      </c>
      <c r="G757">
        <v>476</v>
      </c>
      <c r="H757" s="13">
        <v>90388.05</v>
      </c>
      <c r="I757" s="1">
        <v>43437</v>
      </c>
      <c r="J757">
        <v>12</v>
      </c>
      <c r="K757">
        <v>342</v>
      </c>
      <c r="L757">
        <v>31</v>
      </c>
      <c r="M757" t="s">
        <v>164</v>
      </c>
      <c r="N757" t="s">
        <v>153</v>
      </c>
    </row>
    <row r="758" spans="1:14" x14ac:dyDescent="0.25">
      <c r="A758" t="s">
        <v>43</v>
      </c>
      <c r="B758" t="s">
        <v>37</v>
      </c>
      <c r="C758" s="1">
        <v>43490</v>
      </c>
      <c r="D758" t="s">
        <v>133</v>
      </c>
      <c r="E758">
        <v>1</v>
      </c>
      <c r="F758" s="12">
        <v>190</v>
      </c>
      <c r="G758">
        <v>1399</v>
      </c>
      <c r="H758" s="13">
        <v>265758.05</v>
      </c>
      <c r="I758" s="1">
        <v>43535</v>
      </c>
      <c r="J758">
        <v>3</v>
      </c>
      <c r="K758">
        <v>101</v>
      </c>
      <c r="L758">
        <v>60</v>
      </c>
      <c r="M758" t="s">
        <v>159</v>
      </c>
      <c r="N758" t="s">
        <v>154</v>
      </c>
    </row>
    <row r="759" spans="1:14" x14ac:dyDescent="0.25">
      <c r="A759" t="s">
        <v>114</v>
      </c>
      <c r="B759" t="s">
        <v>108</v>
      </c>
      <c r="C759" s="1">
        <v>42808</v>
      </c>
      <c r="D759" t="s">
        <v>133</v>
      </c>
      <c r="E759">
        <v>1</v>
      </c>
      <c r="F759" s="12">
        <v>190</v>
      </c>
      <c r="G759">
        <v>148</v>
      </c>
      <c r="H759" s="13">
        <v>28068.05</v>
      </c>
      <c r="I759" s="1">
        <v>43478</v>
      </c>
      <c r="J759">
        <v>1</v>
      </c>
      <c r="K759">
        <v>580</v>
      </c>
      <c r="L759">
        <v>51</v>
      </c>
      <c r="M759" t="s">
        <v>156</v>
      </c>
      <c r="N759" t="s">
        <v>154</v>
      </c>
    </row>
    <row r="760" spans="1:14" x14ac:dyDescent="0.25">
      <c r="A760" t="s">
        <v>52</v>
      </c>
      <c r="B760" t="s">
        <v>50</v>
      </c>
      <c r="C760" s="1">
        <v>43917</v>
      </c>
      <c r="D760" t="s">
        <v>133</v>
      </c>
      <c r="E760">
        <v>1</v>
      </c>
      <c r="F760" s="12">
        <v>190</v>
      </c>
      <c r="G760">
        <v>650</v>
      </c>
      <c r="H760" s="13">
        <v>123448.05</v>
      </c>
      <c r="I760" s="1">
        <v>44064</v>
      </c>
      <c r="J760">
        <v>8</v>
      </c>
      <c r="K760">
        <v>592</v>
      </c>
      <c r="L760">
        <v>35</v>
      </c>
      <c r="M760" t="s">
        <v>164</v>
      </c>
      <c r="N760" t="s">
        <v>154</v>
      </c>
    </row>
    <row r="761" spans="1:14" x14ac:dyDescent="0.25">
      <c r="A761" t="s">
        <v>74</v>
      </c>
      <c r="B761" t="s">
        <v>69</v>
      </c>
      <c r="C761" s="1">
        <v>42228</v>
      </c>
      <c r="D761" t="s">
        <v>133</v>
      </c>
      <c r="E761">
        <v>1</v>
      </c>
      <c r="F761" s="12">
        <v>190</v>
      </c>
      <c r="G761">
        <v>185</v>
      </c>
      <c r="H761" s="13">
        <v>35098.050000000003</v>
      </c>
      <c r="I761" s="1">
        <v>42228</v>
      </c>
      <c r="J761">
        <v>8</v>
      </c>
      <c r="K761">
        <v>385</v>
      </c>
      <c r="L761">
        <v>62</v>
      </c>
      <c r="M761" t="s">
        <v>157</v>
      </c>
      <c r="N761" t="s">
        <v>154</v>
      </c>
    </row>
    <row r="762" spans="1:14" x14ac:dyDescent="0.25">
      <c r="A762" t="s">
        <v>93</v>
      </c>
      <c r="B762" t="s">
        <v>94</v>
      </c>
      <c r="C762" s="1">
        <v>43618</v>
      </c>
      <c r="D762" t="s">
        <v>133</v>
      </c>
      <c r="E762">
        <v>1</v>
      </c>
      <c r="F762" s="12">
        <v>190</v>
      </c>
      <c r="G762">
        <v>570</v>
      </c>
      <c r="H762" s="13">
        <v>108248.05</v>
      </c>
      <c r="I762" s="1">
        <v>43989</v>
      </c>
      <c r="J762">
        <v>6</v>
      </c>
      <c r="K762">
        <v>519</v>
      </c>
      <c r="L762">
        <v>40</v>
      </c>
      <c r="M762" t="s">
        <v>161</v>
      </c>
      <c r="N762" t="s">
        <v>153</v>
      </c>
    </row>
    <row r="763" spans="1:14" x14ac:dyDescent="0.25">
      <c r="A763" t="s">
        <v>42</v>
      </c>
      <c r="B763" t="s">
        <v>1</v>
      </c>
      <c r="C763" s="1">
        <v>43712</v>
      </c>
      <c r="D763" t="s">
        <v>133</v>
      </c>
      <c r="E763">
        <v>1</v>
      </c>
      <c r="F763" s="12">
        <v>190</v>
      </c>
      <c r="G763">
        <v>155</v>
      </c>
      <c r="H763" s="13">
        <v>29398.05</v>
      </c>
      <c r="I763" s="1">
        <v>44137</v>
      </c>
      <c r="J763">
        <v>11</v>
      </c>
      <c r="K763">
        <v>514</v>
      </c>
      <c r="L763">
        <v>50</v>
      </c>
      <c r="M763" t="s">
        <v>163</v>
      </c>
      <c r="N763" t="s">
        <v>154</v>
      </c>
    </row>
    <row r="764" spans="1:14" x14ac:dyDescent="0.25">
      <c r="A764" t="s">
        <v>34</v>
      </c>
      <c r="B764" t="s">
        <v>30</v>
      </c>
      <c r="C764" s="1">
        <v>43765</v>
      </c>
      <c r="D764" t="s">
        <v>133</v>
      </c>
      <c r="E764">
        <v>1</v>
      </c>
      <c r="F764" s="12">
        <v>190</v>
      </c>
      <c r="G764">
        <v>541</v>
      </c>
      <c r="H764" s="13">
        <v>102738.05</v>
      </c>
      <c r="I764" s="1">
        <v>44209</v>
      </c>
      <c r="J764">
        <v>1</v>
      </c>
      <c r="K764">
        <v>422</v>
      </c>
      <c r="L764">
        <v>69</v>
      </c>
      <c r="M764" t="s">
        <v>165</v>
      </c>
      <c r="N764" t="s">
        <v>154</v>
      </c>
    </row>
    <row r="765" spans="1:14" x14ac:dyDescent="0.25">
      <c r="A765" t="s">
        <v>83</v>
      </c>
      <c r="B765" t="s">
        <v>84</v>
      </c>
      <c r="C765" s="1">
        <v>43427</v>
      </c>
      <c r="D765" t="s">
        <v>133</v>
      </c>
      <c r="E765">
        <v>1</v>
      </c>
      <c r="F765" s="12">
        <v>190</v>
      </c>
      <c r="G765">
        <v>778</v>
      </c>
      <c r="H765" s="13">
        <v>147768.04999999999</v>
      </c>
      <c r="I765" s="1">
        <v>43870</v>
      </c>
      <c r="J765">
        <v>2</v>
      </c>
      <c r="K765">
        <v>502</v>
      </c>
      <c r="L765">
        <v>55</v>
      </c>
      <c r="M765" t="s">
        <v>156</v>
      </c>
      <c r="N765" t="s">
        <v>154</v>
      </c>
    </row>
    <row r="766" spans="1:14" x14ac:dyDescent="0.25">
      <c r="A766" t="s">
        <v>105</v>
      </c>
      <c r="B766" t="s">
        <v>106</v>
      </c>
      <c r="C766" s="1">
        <v>43451</v>
      </c>
      <c r="D766" t="s">
        <v>133</v>
      </c>
      <c r="E766">
        <v>1</v>
      </c>
      <c r="F766" s="12">
        <v>190</v>
      </c>
      <c r="G766">
        <v>428</v>
      </c>
      <c r="H766" s="13">
        <v>81268.05</v>
      </c>
      <c r="I766" s="1">
        <v>44391</v>
      </c>
      <c r="J766">
        <v>7</v>
      </c>
      <c r="K766">
        <v>382</v>
      </c>
      <c r="L766">
        <v>50</v>
      </c>
      <c r="M766" t="s">
        <v>163</v>
      </c>
      <c r="N766" t="s">
        <v>154</v>
      </c>
    </row>
    <row r="767" spans="1:14" x14ac:dyDescent="0.25">
      <c r="A767" t="s">
        <v>80</v>
      </c>
      <c r="B767" t="s">
        <v>77</v>
      </c>
      <c r="C767" s="1">
        <v>43282</v>
      </c>
      <c r="D767" t="s">
        <v>133</v>
      </c>
      <c r="E767">
        <v>1</v>
      </c>
      <c r="F767" s="12">
        <v>190</v>
      </c>
      <c r="G767">
        <v>594</v>
      </c>
      <c r="H767" s="13">
        <v>112808.05</v>
      </c>
      <c r="I767" s="1">
        <v>44206</v>
      </c>
      <c r="J767">
        <v>1</v>
      </c>
      <c r="K767">
        <v>514</v>
      </c>
      <c r="L767">
        <v>50</v>
      </c>
      <c r="M767" t="s">
        <v>163</v>
      </c>
      <c r="N767" t="s">
        <v>154</v>
      </c>
    </row>
    <row r="768" spans="1:14" x14ac:dyDescent="0.25">
      <c r="A768" t="s">
        <v>114</v>
      </c>
      <c r="B768" t="s">
        <v>108</v>
      </c>
      <c r="C768" s="1">
        <v>42808</v>
      </c>
      <c r="D768" t="s">
        <v>133</v>
      </c>
      <c r="E768">
        <v>1</v>
      </c>
      <c r="F768" s="12">
        <v>190</v>
      </c>
      <c r="G768">
        <v>558</v>
      </c>
      <c r="H768" s="13">
        <v>105968.05</v>
      </c>
      <c r="I768" s="1">
        <v>44334</v>
      </c>
      <c r="J768">
        <v>5</v>
      </c>
      <c r="K768">
        <v>87</v>
      </c>
      <c r="L768">
        <v>30</v>
      </c>
      <c r="M768" t="s">
        <v>158</v>
      </c>
      <c r="N768" t="s">
        <v>154</v>
      </c>
    </row>
    <row r="769" spans="1:14" x14ac:dyDescent="0.25">
      <c r="A769" t="s">
        <v>52</v>
      </c>
      <c r="B769" t="s">
        <v>50</v>
      </c>
      <c r="C769" s="1">
        <v>43917</v>
      </c>
      <c r="D769" t="s">
        <v>133</v>
      </c>
      <c r="E769">
        <v>1</v>
      </c>
      <c r="F769" s="12">
        <v>190</v>
      </c>
      <c r="G769">
        <v>736</v>
      </c>
      <c r="H769" s="13">
        <v>139788.04999999999</v>
      </c>
      <c r="I769" s="1">
        <v>44151</v>
      </c>
      <c r="J769">
        <v>11</v>
      </c>
      <c r="K769">
        <v>225</v>
      </c>
      <c r="L769">
        <v>55</v>
      </c>
      <c r="M769" t="s">
        <v>156</v>
      </c>
      <c r="N769" t="s">
        <v>154</v>
      </c>
    </row>
    <row r="770" spans="1:14" x14ac:dyDescent="0.25">
      <c r="A770" t="s">
        <v>117</v>
      </c>
      <c r="B770" t="s">
        <v>111</v>
      </c>
      <c r="C770" s="1">
        <v>42729</v>
      </c>
      <c r="D770" t="s">
        <v>133</v>
      </c>
      <c r="E770">
        <v>1</v>
      </c>
      <c r="F770" s="12">
        <v>190</v>
      </c>
      <c r="G770">
        <v>1886</v>
      </c>
      <c r="H770" s="13">
        <v>358288.05</v>
      </c>
      <c r="I770" s="1">
        <v>42832</v>
      </c>
      <c r="J770">
        <v>4</v>
      </c>
      <c r="K770">
        <v>2</v>
      </c>
      <c r="L770">
        <v>61</v>
      </c>
      <c r="M770" t="s">
        <v>157</v>
      </c>
      <c r="N770" t="s">
        <v>154</v>
      </c>
    </row>
    <row r="771" spans="1:14" x14ac:dyDescent="0.25">
      <c r="A771" t="s">
        <v>118</v>
      </c>
      <c r="B771" t="s">
        <v>112</v>
      </c>
      <c r="C771" s="1">
        <v>43001</v>
      </c>
      <c r="D771" t="s">
        <v>133</v>
      </c>
      <c r="E771">
        <v>1</v>
      </c>
      <c r="F771" s="12">
        <v>190</v>
      </c>
      <c r="G771">
        <v>586</v>
      </c>
      <c r="H771" s="13">
        <v>111288.05</v>
      </c>
      <c r="I771" s="1">
        <v>44356</v>
      </c>
      <c r="J771">
        <v>6</v>
      </c>
      <c r="K771">
        <v>480</v>
      </c>
      <c r="L771">
        <v>39</v>
      </c>
      <c r="M771" t="s">
        <v>161</v>
      </c>
      <c r="N771" t="s">
        <v>153</v>
      </c>
    </row>
    <row r="772" spans="1:14" x14ac:dyDescent="0.25">
      <c r="A772" t="s">
        <v>73</v>
      </c>
      <c r="B772" t="s">
        <v>68</v>
      </c>
      <c r="C772" s="1">
        <v>43097</v>
      </c>
      <c r="D772" t="s">
        <v>133</v>
      </c>
      <c r="E772">
        <v>1</v>
      </c>
      <c r="F772" s="12">
        <v>190</v>
      </c>
      <c r="G772">
        <v>1324</v>
      </c>
      <c r="H772" s="13">
        <v>251508.05</v>
      </c>
      <c r="I772" s="1">
        <v>43534</v>
      </c>
      <c r="J772">
        <v>3</v>
      </c>
      <c r="K772">
        <v>207</v>
      </c>
      <c r="L772">
        <v>56</v>
      </c>
      <c r="M772" t="s">
        <v>159</v>
      </c>
      <c r="N772" t="s">
        <v>154</v>
      </c>
    </row>
    <row r="773" spans="1:14" x14ac:dyDescent="0.25">
      <c r="A773" t="s">
        <v>63</v>
      </c>
      <c r="B773" t="s">
        <v>58</v>
      </c>
      <c r="C773" s="1">
        <v>43155</v>
      </c>
      <c r="D773" t="s">
        <v>133</v>
      </c>
      <c r="E773">
        <v>1</v>
      </c>
      <c r="F773" s="12">
        <v>190</v>
      </c>
      <c r="G773">
        <v>294</v>
      </c>
      <c r="H773" s="13">
        <v>55808.05</v>
      </c>
      <c r="I773" s="1">
        <v>43437</v>
      </c>
      <c r="J773">
        <v>12</v>
      </c>
      <c r="K773">
        <v>88</v>
      </c>
      <c r="L773">
        <v>35</v>
      </c>
      <c r="M773" t="s">
        <v>164</v>
      </c>
      <c r="N773" t="s">
        <v>153</v>
      </c>
    </row>
    <row r="774" spans="1:14" x14ac:dyDescent="0.25">
      <c r="A774" t="s">
        <v>118</v>
      </c>
      <c r="B774" t="s">
        <v>112</v>
      </c>
      <c r="C774" s="1">
        <v>43001</v>
      </c>
      <c r="D774" t="s">
        <v>133</v>
      </c>
      <c r="E774">
        <v>1</v>
      </c>
      <c r="F774" s="12">
        <v>190</v>
      </c>
      <c r="G774">
        <v>707</v>
      </c>
      <c r="H774" s="13">
        <v>134278.04999999999</v>
      </c>
      <c r="I774" s="1">
        <v>43001</v>
      </c>
      <c r="J774">
        <v>9</v>
      </c>
      <c r="K774">
        <v>45</v>
      </c>
      <c r="L774">
        <v>43</v>
      </c>
      <c r="M774" t="s">
        <v>162</v>
      </c>
      <c r="N774" t="s">
        <v>153</v>
      </c>
    </row>
    <row r="775" spans="1:14" x14ac:dyDescent="0.25">
      <c r="A775" t="s">
        <v>115</v>
      </c>
      <c r="B775" t="s">
        <v>109</v>
      </c>
      <c r="C775" s="1">
        <v>43357</v>
      </c>
      <c r="D775" t="s">
        <v>133</v>
      </c>
      <c r="E775">
        <v>1</v>
      </c>
      <c r="F775" s="12">
        <v>190</v>
      </c>
      <c r="G775">
        <v>563</v>
      </c>
      <c r="H775" s="13">
        <v>106918.05</v>
      </c>
      <c r="I775" s="1">
        <v>44052</v>
      </c>
      <c r="J775">
        <v>8</v>
      </c>
      <c r="K775">
        <v>53</v>
      </c>
      <c r="L775">
        <v>55</v>
      </c>
      <c r="M775" t="s">
        <v>156</v>
      </c>
      <c r="N775" t="s">
        <v>154</v>
      </c>
    </row>
    <row r="776" spans="1:14" x14ac:dyDescent="0.25">
      <c r="A776" t="s">
        <v>40</v>
      </c>
      <c r="B776" t="s">
        <v>0</v>
      </c>
      <c r="C776" s="1">
        <v>43287</v>
      </c>
      <c r="D776" t="s">
        <v>133</v>
      </c>
      <c r="E776">
        <v>1</v>
      </c>
      <c r="F776" s="12">
        <v>190</v>
      </c>
      <c r="G776">
        <v>570</v>
      </c>
      <c r="H776" s="13">
        <v>108248.05</v>
      </c>
      <c r="I776" s="1">
        <v>44423</v>
      </c>
      <c r="J776">
        <v>8</v>
      </c>
      <c r="K776">
        <v>129</v>
      </c>
      <c r="L776">
        <v>20</v>
      </c>
      <c r="M776" t="s">
        <v>160</v>
      </c>
      <c r="N776" t="s">
        <v>154</v>
      </c>
    </row>
    <row r="777" spans="1:14" x14ac:dyDescent="0.25">
      <c r="A777" t="s">
        <v>82</v>
      </c>
      <c r="B777" t="s">
        <v>79</v>
      </c>
      <c r="C777" s="1">
        <v>43278</v>
      </c>
      <c r="D777" t="s">
        <v>133</v>
      </c>
      <c r="E777">
        <v>1</v>
      </c>
      <c r="F777" s="12">
        <v>190</v>
      </c>
      <c r="G777">
        <v>335</v>
      </c>
      <c r="H777" s="13">
        <v>63598.05</v>
      </c>
      <c r="I777" s="1">
        <v>43825</v>
      </c>
      <c r="J777">
        <v>12</v>
      </c>
      <c r="K777">
        <v>131</v>
      </c>
      <c r="L777">
        <v>56</v>
      </c>
      <c r="M777" t="s">
        <v>159</v>
      </c>
      <c r="N777" t="s">
        <v>154</v>
      </c>
    </row>
    <row r="778" spans="1:14" x14ac:dyDescent="0.25">
      <c r="A778" t="s">
        <v>63</v>
      </c>
      <c r="B778" t="s">
        <v>58</v>
      </c>
      <c r="C778" s="1">
        <v>43155</v>
      </c>
      <c r="D778" t="s">
        <v>133</v>
      </c>
      <c r="E778">
        <v>1</v>
      </c>
      <c r="F778" s="12">
        <v>190</v>
      </c>
      <c r="G778">
        <v>1458</v>
      </c>
      <c r="H778" s="13">
        <v>276968.05</v>
      </c>
      <c r="I778" s="1">
        <v>43178</v>
      </c>
      <c r="J778">
        <v>3</v>
      </c>
      <c r="K778">
        <v>476</v>
      </c>
      <c r="L778">
        <v>50</v>
      </c>
      <c r="M778" t="s">
        <v>163</v>
      </c>
      <c r="N778" t="s">
        <v>154</v>
      </c>
    </row>
    <row r="779" spans="1:14" x14ac:dyDescent="0.25">
      <c r="A779" t="s">
        <v>40</v>
      </c>
      <c r="B779" t="s">
        <v>0</v>
      </c>
      <c r="C779" s="1">
        <v>43287</v>
      </c>
      <c r="D779" t="s">
        <v>133</v>
      </c>
      <c r="E779">
        <v>1</v>
      </c>
      <c r="F779" s="12">
        <v>190</v>
      </c>
      <c r="G779">
        <v>380</v>
      </c>
      <c r="H779" s="13">
        <v>72148.05</v>
      </c>
      <c r="I779" s="1">
        <v>44337</v>
      </c>
      <c r="J779">
        <v>5</v>
      </c>
      <c r="K779">
        <v>512</v>
      </c>
      <c r="L779">
        <v>55</v>
      </c>
      <c r="M779" t="s">
        <v>156</v>
      </c>
      <c r="N779" t="s">
        <v>154</v>
      </c>
    </row>
    <row r="780" spans="1:14" x14ac:dyDescent="0.25">
      <c r="A780" t="s">
        <v>80</v>
      </c>
      <c r="B780" t="s">
        <v>77</v>
      </c>
      <c r="C780" s="1">
        <v>43282</v>
      </c>
      <c r="D780" t="s">
        <v>133</v>
      </c>
      <c r="E780">
        <v>1</v>
      </c>
      <c r="F780" s="12">
        <v>190</v>
      </c>
      <c r="G780">
        <v>447</v>
      </c>
      <c r="H780" s="13">
        <v>84878.05</v>
      </c>
      <c r="I780" s="1">
        <v>43760</v>
      </c>
      <c r="J780">
        <v>10</v>
      </c>
      <c r="K780">
        <v>20</v>
      </c>
      <c r="L780">
        <v>59</v>
      </c>
      <c r="M780" t="s">
        <v>159</v>
      </c>
      <c r="N780" t="s">
        <v>154</v>
      </c>
    </row>
    <row r="781" spans="1:14" x14ac:dyDescent="0.25">
      <c r="A781" t="s">
        <v>60</v>
      </c>
      <c r="B781" t="s">
        <v>55</v>
      </c>
      <c r="C781" s="1">
        <v>43555</v>
      </c>
      <c r="D781" t="s">
        <v>133</v>
      </c>
      <c r="E781">
        <v>1</v>
      </c>
      <c r="F781" s="12">
        <v>190</v>
      </c>
      <c r="G781">
        <v>538</v>
      </c>
      <c r="H781" s="13">
        <v>102168.05</v>
      </c>
      <c r="I781" s="1">
        <v>43996</v>
      </c>
      <c r="J781">
        <v>6</v>
      </c>
      <c r="K781">
        <v>145</v>
      </c>
      <c r="L781">
        <v>55</v>
      </c>
      <c r="M781" t="s">
        <v>156</v>
      </c>
      <c r="N781" t="s">
        <v>154</v>
      </c>
    </row>
    <row r="782" spans="1:14" x14ac:dyDescent="0.25">
      <c r="A782" t="s">
        <v>61</v>
      </c>
      <c r="B782" t="s">
        <v>56</v>
      </c>
      <c r="C782" s="1">
        <v>42607</v>
      </c>
      <c r="D782" t="s">
        <v>133</v>
      </c>
      <c r="E782">
        <v>1</v>
      </c>
      <c r="F782" s="12">
        <v>190</v>
      </c>
      <c r="G782">
        <v>111</v>
      </c>
      <c r="H782" s="13">
        <v>21038.05</v>
      </c>
      <c r="I782" s="1">
        <v>42937</v>
      </c>
      <c r="J782">
        <v>7</v>
      </c>
      <c r="K782">
        <v>443</v>
      </c>
      <c r="L782">
        <v>56</v>
      </c>
      <c r="M782" t="s">
        <v>159</v>
      </c>
      <c r="N782" t="s">
        <v>153</v>
      </c>
    </row>
    <row r="783" spans="1:14" x14ac:dyDescent="0.25">
      <c r="A783" t="s">
        <v>33</v>
      </c>
      <c r="B783" t="s">
        <v>29</v>
      </c>
      <c r="C783" s="1">
        <v>42795</v>
      </c>
      <c r="D783" t="s">
        <v>133</v>
      </c>
      <c r="E783">
        <v>1</v>
      </c>
      <c r="F783" s="12">
        <v>190</v>
      </c>
      <c r="G783">
        <v>469</v>
      </c>
      <c r="H783" s="13">
        <v>89058.05</v>
      </c>
      <c r="I783" s="1">
        <v>44186</v>
      </c>
      <c r="J783">
        <v>12</v>
      </c>
      <c r="K783">
        <v>198</v>
      </c>
      <c r="L783">
        <v>60</v>
      </c>
      <c r="M783" t="s">
        <v>159</v>
      </c>
      <c r="N783" t="s">
        <v>154</v>
      </c>
    </row>
    <row r="784" spans="1:14" x14ac:dyDescent="0.25">
      <c r="A784" t="s">
        <v>75</v>
      </c>
      <c r="B784" t="s">
        <v>76</v>
      </c>
      <c r="C784" s="1">
        <v>43003</v>
      </c>
      <c r="D784" t="s">
        <v>133</v>
      </c>
      <c r="E784">
        <v>1</v>
      </c>
      <c r="F784" s="12">
        <v>190</v>
      </c>
      <c r="G784">
        <v>228</v>
      </c>
      <c r="H784" s="13">
        <v>43268.05</v>
      </c>
      <c r="I784" s="1">
        <v>43787</v>
      </c>
      <c r="J784">
        <v>11</v>
      </c>
      <c r="K784">
        <v>163</v>
      </c>
      <c r="L784">
        <v>58</v>
      </c>
      <c r="M784" t="s">
        <v>159</v>
      </c>
      <c r="N784" t="s">
        <v>154</v>
      </c>
    </row>
    <row r="785" spans="1:14" x14ac:dyDescent="0.25">
      <c r="A785" t="s">
        <v>60</v>
      </c>
      <c r="B785" t="s">
        <v>55</v>
      </c>
      <c r="C785" s="1">
        <v>43555</v>
      </c>
      <c r="D785" t="s">
        <v>133</v>
      </c>
      <c r="E785">
        <v>1</v>
      </c>
      <c r="F785" s="12">
        <v>190</v>
      </c>
      <c r="G785">
        <v>108</v>
      </c>
      <c r="H785" s="13">
        <v>20468.05</v>
      </c>
      <c r="I785" s="1">
        <v>43808</v>
      </c>
      <c r="J785">
        <v>12</v>
      </c>
      <c r="K785">
        <v>309</v>
      </c>
      <c r="L785">
        <v>55</v>
      </c>
      <c r="M785" t="s">
        <v>156</v>
      </c>
      <c r="N785" t="s">
        <v>154</v>
      </c>
    </row>
    <row r="786" spans="1:14" x14ac:dyDescent="0.25">
      <c r="A786" t="s">
        <v>117</v>
      </c>
      <c r="B786" t="s">
        <v>111</v>
      </c>
      <c r="C786" s="1">
        <v>42729</v>
      </c>
      <c r="D786" t="s">
        <v>133</v>
      </c>
      <c r="E786">
        <v>1</v>
      </c>
      <c r="F786" s="12">
        <v>190</v>
      </c>
      <c r="G786">
        <v>496</v>
      </c>
      <c r="H786" s="13">
        <v>94188.05</v>
      </c>
      <c r="I786" s="1">
        <v>44408</v>
      </c>
      <c r="J786">
        <v>7</v>
      </c>
      <c r="K786">
        <v>476</v>
      </c>
      <c r="L786">
        <v>50</v>
      </c>
      <c r="M786" t="s">
        <v>163</v>
      </c>
      <c r="N786" t="s">
        <v>154</v>
      </c>
    </row>
    <row r="787" spans="1:14" x14ac:dyDescent="0.25">
      <c r="A787" t="s">
        <v>61</v>
      </c>
      <c r="B787" t="s">
        <v>56</v>
      </c>
      <c r="C787" s="1">
        <v>42607</v>
      </c>
      <c r="D787" t="s">
        <v>133</v>
      </c>
      <c r="E787">
        <v>1</v>
      </c>
      <c r="F787" s="12">
        <v>190</v>
      </c>
      <c r="G787">
        <v>186</v>
      </c>
      <c r="H787" s="13">
        <v>35288.050000000003</v>
      </c>
      <c r="I787" s="1">
        <v>42706</v>
      </c>
      <c r="J787">
        <v>12</v>
      </c>
      <c r="K787">
        <v>417</v>
      </c>
      <c r="L787">
        <v>45</v>
      </c>
      <c r="M787" t="s">
        <v>162</v>
      </c>
      <c r="N787" t="s">
        <v>154</v>
      </c>
    </row>
    <row r="788" spans="1:14" x14ac:dyDescent="0.25">
      <c r="A788" t="s">
        <v>35</v>
      </c>
      <c r="B788" t="s">
        <v>3</v>
      </c>
      <c r="C788" s="1">
        <v>42465</v>
      </c>
      <c r="D788" t="s">
        <v>133</v>
      </c>
      <c r="E788">
        <v>1</v>
      </c>
      <c r="F788" s="12">
        <v>190</v>
      </c>
      <c r="G788">
        <v>1080</v>
      </c>
      <c r="H788" s="13">
        <v>205148.05</v>
      </c>
      <c r="I788" s="1">
        <v>43146</v>
      </c>
      <c r="J788">
        <v>2</v>
      </c>
      <c r="K788">
        <v>23</v>
      </c>
      <c r="L788">
        <v>48</v>
      </c>
      <c r="M788" t="s">
        <v>163</v>
      </c>
      <c r="N788" t="s">
        <v>154</v>
      </c>
    </row>
    <row r="789" spans="1:14" x14ac:dyDescent="0.25">
      <c r="A789" t="s">
        <v>70</v>
      </c>
      <c r="B789" t="s">
        <v>65</v>
      </c>
      <c r="C789" s="1">
        <v>43523</v>
      </c>
      <c r="D789" t="s">
        <v>133</v>
      </c>
      <c r="E789">
        <v>1</v>
      </c>
      <c r="F789" s="12">
        <v>190</v>
      </c>
      <c r="G789">
        <v>1048</v>
      </c>
      <c r="H789" s="13">
        <v>199068.05</v>
      </c>
      <c r="I789" s="1">
        <v>43936</v>
      </c>
      <c r="J789">
        <v>4</v>
      </c>
      <c r="K789">
        <v>452</v>
      </c>
      <c r="L789">
        <v>50</v>
      </c>
      <c r="M789" t="s">
        <v>163</v>
      </c>
      <c r="N789" t="s">
        <v>154</v>
      </c>
    </row>
    <row r="790" spans="1:14" x14ac:dyDescent="0.25">
      <c r="A790" t="s">
        <v>95</v>
      </c>
      <c r="B790" t="s">
        <v>96</v>
      </c>
      <c r="C790" s="1">
        <v>43758</v>
      </c>
      <c r="D790" t="s">
        <v>133</v>
      </c>
      <c r="E790">
        <v>1</v>
      </c>
      <c r="F790" s="12">
        <v>190</v>
      </c>
      <c r="G790">
        <v>1729</v>
      </c>
      <c r="H790" s="13">
        <v>328458.05</v>
      </c>
      <c r="I790" s="1">
        <v>44252</v>
      </c>
      <c r="J790">
        <v>2</v>
      </c>
      <c r="K790">
        <v>408</v>
      </c>
      <c r="L790">
        <v>58</v>
      </c>
      <c r="M790" t="s">
        <v>159</v>
      </c>
      <c r="N790" t="s">
        <v>154</v>
      </c>
    </row>
    <row r="791" spans="1:14" x14ac:dyDescent="0.25">
      <c r="A791" t="s">
        <v>47</v>
      </c>
      <c r="B791" t="s">
        <v>48</v>
      </c>
      <c r="C791" s="1">
        <v>42542</v>
      </c>
      <c r="D791" t="s">
        <v>133</v>
      </c>
      <c r="E791">
        <v>1</v>
      </c>
      <c r="F791" s="12">
        <v>190</v>
      </c>
      <c r="G791">
        <v>603</v>
      </c>
      <c r="H791" s="13">
        <v>114518.05</v>
      </c>
      <c r="I791" s="1">
        <v>43805</v>
      </c>
      <c r="J791">
        <v>12</v>
      </c>
      <c r="K791">
        <v>315</v>
      </c>
      <c r="L791">
        <v>60</v>
      </c>
      <c r="M791" t="s">
        <v>159</v>
      </c>
      <c r="N791" t="s">
        <v>154</v>
      </c>
    </row>
    <row r="792" spans="1:14" x14ac:dyDescent="0.25">
      <c r="A792" t="s">
        <v>83</v>
      </c>
      <c r="B792" t="s">
        <v>84</v>
      </c>
      <c r="C792" s="1">
        <v>43427</v>
      </c>
      <c r="D792" t="s">
        <v>133</v>
      </c>
      <c r="E792">
        <v>1</v>
      </c>
      <c r="F792" s="12">
        <v>190</v>
      </c>
      <c r="G792">
        <v>1233</v>
      </c>
      <c r="H792" s="13">
        <v>234218.05</v>
      </c>
      <c r="I792" s="1">
        <v>43878</v>
      </c>
      <c r="J792">
        <v>2</v>
      </c>
      <c r="K792">
        <v>176</v>
      </c>
      <c r="L792">
        <v>58</v>
      </c>
      <c r="M792" t="s">
        <v>159</v>
      </c>
      <c r="N792" t="s">
        <v>154</v>
      </c>
    </row>
    <row r="793" spans="1:14" x14ac:dyDescent="0.25">
      <c r="A793" t="s">
        <v>47</v>
      </c>
      <c r="B793" t="s">
        <v>48</v>
      </c>
      <c r="C793" s="1">
        <v>42542</v>
      </c>
      <c r="D793" t="s">
        <v>133</v>
      </c>
      <c r="E793">
        <v>1</v>
      </c>
      <c r="F793" s="12">
        <v>190</v>
      </c>
      <c r="G793">
        <v>562</v>
      </c>
      <c r="H793" s="13">
        <v>106728.05</v>
      </c>
      <c r="I793" s="1">
        <v>44380</v>
      </c>
      <c r="J793">
        <v>7</v>
      </c>
      <c r="K793">
        <v>294</v>
      </c>
      <c r="L793">
        <v>42</v>
      </c>
      <c r="M793" t="s">
        <v>162</v>
      </c>
      <c r="N793" t="s">
        <v>154</v>
      </c>
    </row>
    <row r="794" spans="1:14" x14ac:dyDescent="0.25">
      <c r="A794" t="s">
        <v>91</v>
      </c>
      <c r="B794" t="s">
        <v>87</v>
      </c>
      <c r="C794" s="1">
        <v>43557</v>
      </c>
      <c r="D794" t="s">
        <v>133</v>
      </c>
      <c r="E794">
        <v>1</v>
      </c>
      <c r="F794" s="12">
        <v>190</v>
      </c>
      <c r="G794">
        <v>173</v>
      </c>
      <c r="H794" s="13">
        <v>32818.050000000003</v>
      </c>
      <c r="I794" s="1">
        <v>43820</v>
      </c>
      <c r="J794">
        <v>12</v>
      </c>
      <c r="K794">
        <v>245</v>
      </c>
      <c r="L794">
        <v>25</v>
      </c>
      <c r="M794" t="s">
        <v>160</v>
      </c>
      <c r="N794" t="s">
        <v>153</v>
      </c>
    </row>
    <row r="795" spans="1:14" x14ac:dyDescent="0.25">
      <c r="A795" t="s">
        <v>71</v>
      </c>
      <c r="B795" t="s">
        <v>66</v>
      </c>
      <c r="C795" s="1">
        <v>43621</v>
      </c>
      <c r="D795" t="s">
        <v>133</v>
      </c>
      <c r="E795">
        <v>1</v>
      </c>
      <c r="F795" s="12">
        <v>190</v>
      </c>
      <c r="G795">
        <v>103</v>
      </c>
      <c r="H795" s="13">
        <v>19518.05</v>
      </c>
      <c r="I795" s="1">
        <v>43845</v>
      </c>
      <c r="J795">
        <v>1</v>
      </c>
      <c r="K795">
        <v>474</v>
      </c>
      <c r="L795">
        <v>56</v>
      </c>
      <c r="M795" t="s">
        <v>159</v>
      </c>
      <c r="N795" t="s">
        <v>153</v>
      </c>
    </row>
    <row r="796" spans="1:14" x14ac:dyDescent="0.25">
      <c r="A796" t="s">
        <v>73</v>
      </c>
      <c r="B796" t="s">
        <v>68</v>
      </c>
      <c r="C796" s="1">
        <v>43097</v>
      </c>
      <c r="D796" t="s">
        <v>133</v>
      </c>
      <c r="E796">
        <v>1</v>
      </c>
      <c r="F796" s="12">
        <v>190</v>
      </c>
      <c r="G796">
        <v>282</v>
      </c>
      <c r="H796" s="13">
        <v>53528.05</v>
      </c>
      <c r="I796" s="1">
        <v>44226</v>
      </c>
      <c r="J796">
        <v>1</v>
      </c>
      <c r="K796">
        <v>346</v>
      </c>
      <c r="L796">
        <v>51</v>
      </c>
      <c r="M796" t="s">
        <v>156</v>
      </c>
      <c r="N796" t="s">
        <v>154</v>
      </c>
    </row>
    <row r="797" spans="1:14" x14ac:dyDescent="0.25">
      <c r="A797" t="s">
        <v>51</v>
      </c>
      <c r="B797" t="s">
        <v>49</v>
      </c>
      <c r="C797" s="1">
        <v>42394</v>
      </c>
      <c r="D797" t="s">
        <v>133</v>
      </c>
      <c r="E797">
        <v>1</v>
      </c>
      <c r="F797" s="12">
        <v>190</v>
      </c>
      <c r="G797">
        <v>633</v>
      </c>
      <c r="H797" s="13">
        <v>120218.05</v>
      </c>
      <c r="I797" s="1">
        <v>42561</v>
      </c>
      <c r="J797">
        <v>7</v>
      </c>
      <c r="K797">
        <v>39</v>
      </c>
      <c r="L797">
        <v>21</v>
      </c>
      <c r="M797" t="s">
        <v>160</v>
      </c>
      <c r="N797" t="s">
        <v>153</v>
      </c>
    </row>
    <row r="798" spans="1:14" x14ac:dyDescent="0.25">
      <c r="A798" t="s">
        <v>53</v>
      </c>
      <c r="B798" t="s">
        <v>54</v>
      </c>
      <c r="C798" s="1">
        <v>42816</v>
      </c>
      <c r="D798" t="s">
        <v>133</v>
      </c>
      <c r="E798">
        <v>1</v>
      </c>
      <c r="F798" s="12">
        <v>190</v>
      </c>
      <c r="G798">
        <v>703</v>
      </c>
      <c r="H798" s="13">
        <v>133518.04999999999</v>
      </c>
      <c r="I798" s="1">
        <v>43326</v>
      </c>
      <c r="J798">
        <v>8</v>
      </c>
      <c r="K798">
        <v>112</v>
      </c>
      <c r="L798">
        <v>52</v>
      </c>
      <c r="M798" t="s">
        <v>156</v>
      </c>
      <c r="N798" t="s">
        <v>154</v>
      </c>
    </row>
    <row r="799" spans="1:14" x14ac:dyDescent="0.25">
      <c r="A799" t="s">
        <v>95</v>
      </c>
      <c r="B799" t="s">
        <v>96</v>
      </c>
      <c r="C799" s="1">
        <v>43758</v>
      </c>
      <c r="D799" t="s">
        <v>133</v>
      </c>
      <c r="E799">
        <v>1</v>
      </c>
      <c r="F799" s="12">
        <v>190</v>
      </c>
      <c r="G799">
        <v>665</v>
      </c>
      <c r="H799" s="13">
        <v>126298.05</v>
      </c>
      <c r="I799" s="1">
        <v>43817</v>
      </c>
      <c r="J799">
        <v>12</v>
      </c>
      <c r="K799">
        <v>593</v>
      </c>
      <c r="L799">
        <v>62</v>
      </c>
      <c r="M799" t="s">
        <v>157</v>
      </c>
      <c r="N799" t="s">
        <v>154</v>
      </c>
    </row>
    <row r="800" spans="1:14" x14ac:dyDescent="0.25">
      <c r="A800" t="s">
        <v>90</v>
      </c>
      <c r="B800" t="s">
        <v>86</v>
      </c>
      <c r="C800" s="1">
        <v>43995</v>
      </c>
      <c r="D800" t="s">
        <v>133</v>
      </c>
      <c r="E800">
        <v>1</v>
      </c>
      <c r="F800" s="12">
        <v>190</v>
      </c>
      <c r="G800">
        <v>1138</v>
      </c>
      <c r="H800" s="13">
        <v>216168.05</v>
      </c>
      <c r="I800" s="1">
        <v>44315</v>
      </c>
      <c r="J800">
        <v>4</v>
      </c>
      <c r="K800">
        <v>399</v>
      </c>
      <c r="L800">
        <v>59</v>
      </c>
      <c r="M800" t="s">
        <v>159</v>
      </c>
      <c r="N800" t="s">
        <v>154</v>
      </c>
    </row>
    <row r="801" spans="1:14" x14ac:dyDescent="0.25">
      <c r="A801" t="s">
        <v>82</v>
      </c>
      <c r="B801" t="s">
        <v>79</v>
      </c>
      <c r="C801" s="1">
        <v>43278</v>
      </c>
      <c r="D801" t="s">
        <v>133</v>
      </c>
      <c r="E801">
        <v>1</v>
      </c>
      <c r="F801" s="12">
        <v>190</v>
      </c>
      <c r="G801">
        <v>306</v>
      </c>
      <c r="H801" s="13">
        <v>58088.05</v>
      </c>
      <c r="I801" s="1">
        <v>44317</v>
      </c>
      <c r="J801">
        <v>5</v>
      </c>
      <c r="K801">
        <v>169</v>
      </c>
      <c r="L801">
        <v>65</v>
      </c>
      <c r="M801" t="s">
        <v>157</v>
      </c>
      <c r="N801" t="s">
        <v>154</v>
      </c>
    </row>
    <row r="802" spans="1:14" x14ac:dyDescent="0.25">
      <c r="A802" t="s">
        <v>70</v>
      </c>
      <c r="B802" t="s">
        <v>65</v>
      </c>
      <c r="C802" s="1">
        <v>43523</v>
      </c>
      <c r="D802" t="s">
        <v>133</v>
      </c>
      <c r="E802">
        <v>1</v>
      </c>
      <c r="F802" s="12">
        <v>190</v>
      </c>
      <c r="G802">
        <v>450</v>
      </c>
      <c r="H802" s="13">
        <v>85448.05</v>
      </c>
      <c r="I802" s="1">
        <v>43978</v>
      </c>
      <c r="J802">
        <v>5</v>
      </c>
      <c r="K802">
        <v>462</v>
      </c>
      <c r="L802">
        <v>64</v>
      </c>
      <c r="M802" t="s">
        <v>157</v>
      </c>
      <c r="N802" t="s">
        <v>154</v>
      </c>
    </row>
    <row r="803" spans="1:14" x14ac:dyDescent="0.25">
      <c r="A803" t="s">
        <v>91</v>
      </c>
      <c r="B803" t="s">
        <v>87</v>
      </c>
      <c r="C803" s="1">
        <v>43557</v>
      </c>
      <c r="D803" t="s">
        <v>133</v>
      </c>
      <c r="E803">
        <v>1</v>
      </c>
      <c r="F803" s="12">
        <v>190</v>
      </c>
      <c r="G803">
        <v>545</v>
      </c>
      <c r="H803" s="13">
        <v>103498.05</v>
      </c>
      <c r="I803" s="1">
        <v>43614</v>
      </c>
      <c r="J803">
        <v>5</v>
      </c>
      <c r="K803">
        <v>349</v>
      </c>
      <c r="L803">
        <v>70</v>
      </c>
      <c r="M803" t="s">
        <v>165</v>
      </c>
      <c r="N803" t="s">
        <v>154</v>
      </c>
    </row>
    <row r="804" spans="1:14" x14ac:dyDescent="0.25">
      <c r="A804" t="s">
        <v>93</v>
      </c>
      <c r="B804" t="s">
        <v>94</v>
      </c>
      <c r="C804" s="1">
        <v>43618</v>
      </c>
      <c r="D804" t="s">
        <v>133</v>
      </c>
      <c r="E804">
        <v>1</v>
      </c>
      <c r="F804" s="12">
        <v>190</v>
      </c>
      <c r="G804">
        <v>778</v>
      </c>
      <c r="H804" s="13">
        <v>147768.04999999999</v>
      </c>
      <c r="I804" s="1">
        <v>43796</v>
      </c>
      <c r="J804">
        <v>11</v>
      </c>
      <c r="K804">
        <v>351</v>
      </c>
      <c r="L804">
        <v>45</v>
      </c>
      <c r="M804" t="s">
        <v>162</v>
      </c>
      <c r="N804" t="s">
        <v>154</v>
      </c>
    </row>
    <row r="805" spans="1:14" x14ac:dyDescent="0.25">
      <c r="A805" t="s">
        <v>34</v>
      </c>
      <c r="B805" t="s">
        <v>30</v>
      </c>
      <c r="C805" s="1">
        <v>43765</v>
      </c>
      <c r="D805" t="s">
        <v>133</v>
      </c>
      <c r="E805">
        <v>1</v>
      </c>
      <c r="F805" s="12">
        <v>190</v>
      </c>
      <c r="G805">
        <v>222</v>
      </c>
      <c r="H805" s="13">
        <v>42128.05</v>
      </c>
      <c r="I805" s="1">
        <v>44396</v>
      </c>
      <c r="J805">
        <v>7</v>
      </c>
      <c r="K805">
        <v>589</v>
      </c>
      <c r="L805">
        <v>57</v>
      </c>
      <c r="M805" t="s">
        <v>159</v>
      </c>
      <c r="N805" t="s">
        <v>154</v>
      </c>
    </row>
    <row r="806" spans="1:14" x14ac:dyDescent="0.25">
      <c r="A806" t="s">
        <v>43</v>
      </c>
      <c r="B806" t="s">
        <v>37</v>
      </c>
      <c r="C806" s="1">
        <v>43490</v>
      </c>
      <c r="D806" t="s">
        <v>133</v>
      </c>
      <c r="E806">
        <v>1</v>
      </c>
      <c r="F806" s="12">
        <v>190</v>
      </c>
      <c r="G806">
        <v>1225</v>
      </c>
      <c r="H806" s="13">
        <v>232698.05</v>
      </c>
      <c r="I806" s="1">
        <v>43930</v>
      </c>
      <c r="J806">
        <v>4</v>
      </c>
      <c r="K806">
        <v>342</v>
      </c>
      <c r="L806">
        <v>31</v>
      </c>
      <c r="M806" t="s">
        <v>164</v>
      </c>
      <c r="N806" t="s">
        <v>153</v>
      </c>
    </row>
    <row r="807" spans="1:14" x14ac:dyDescent="0.25">
      <c r="A807" t="s">
        <v>62</v>
      </c>
      <c r="B807" t="s">
        <v>57</v>
      </c>
      <c r="C807" s="1">
        <v>43724</v>
      </c>
      <c r="D807" t="s">
        <v>133</v>
      </c>
      <c r="E807">
        <v>1</v>
      </c>
      <c r="F807" s="12">
        <v>190</v>
      </c>
      <c r="G807">
        <v>768</v>
      </c>
      <c r="H807" s="13">
        <v>145868.04999999999</v>
      </c>
      <c r="I807" s="1">
        <v>43985</v>
      </c>
      <c r="J807">
        <v>6</v>
      </c>
      <c r="K807">
        <v>147</v>
      </c>
      <c r="L807">
        <v>47</v>
      </c>
      <c r="M807" t="s">
        <v>163</v>
      </c>
      <c r="N807" t="s">
        <v>153</v>
      </c>
    </row>
    <row r="808" spans="1:14" x14ac:dyDescent="0.25">
      <c r="A808" t="s">
        <v>73</v>
      </c>
      <c r="B808" t="s">
        <v>68</v>
      </c>
      <c r="C808" s="1">
        <v>43097</v>
      </c>
      <c r="D808" t="s">
        <v>133</v>
      </c>
      <c r="E808">
        <v>1</v>
      </c>
      <c r="F808" s="12">
        <v>190</v>
      </c>
      <c r="G808">
        <v>1971</v>
      </c>
      <c r="H808" s="13">
        <v>374438.05</v>
      </c>
      <c r="I808" s="1">
        <v>43940</v>
      </c>
      <c r="J808">
        <v>4</v>
      </c>
      <c r="K808">
        <v>217</v>
      </c>
      <c r="L808">
        <v>60</v>
      </c>
      <c r="M808" t="s">
        <v>159</v>
      </c>
      <c r="N808" t="s">
        <v>154</v>
      </c>
    </row>
    <row r="809" spans="1:14" x14ac:dyDescent="0.25">
      <c r="A809" t="s">
        <v>93</v>
      </c>
      <c r="B809" t="s">
        <v>94</v>
      </c>
      <c r="C809" s="1">
        <v>43618</v>
      </c>
      <c r="D809" t="s">
        <v>133</v>
      </c>
      <c r="E809">
        <v>1</v>
      </c>
      <c r="F809" s="12">
        <v>190</v>
      </c>
      <c r="G809">
        <v>365</v>
      </c>
      <c r="H809" s="13">
        <v>69298.05</v>
      </c>
      <c r="I809" s="1">
        <v>44336</v>
      </c>
      <c r="J809">
        <v>5</v>
      </c>
      <c r="K809">
        <v>481</v>
      </c>
      <c r="L809">
        <v>54</v>
      </c>
      <c r="M809" t="s">
        <v>156</v>
      </c>
      <c r="N809" t="s">
        <v>154</v>
      </c>
    </row>
    <row r="810" spans="1:14" x14ac:dyDescent="0.25">
      <c r="A810" t="s">
        <v>92</v>
      </c>
      <c r="B810" t="s">
        <v>88</v>
      </c>
      <c r="C810" s="1">
        <v>42660</v>
      </c>
      <c r="D810" t="s">
        <v>133</v>
      </c>
      <c r="E810">
        <v>1</v>
      </c>
      <c r="F810" s="12">
        <v>190</v>
      </c>
      <c r="G810">
        <v>238</v>
      </c>
      <c r="H810" s="13">
        <v>45168.05</v>
      </c>
      <c r="I810" s="1">
        <v>42737</v>
      </c>
      <c r="J810">
        <v>1</v>
      </c>
      <c r="K810">
        <v>412</v>
      </c>
      <c r="L810">
        <v>66</v>
      </c>
      <c r="M810" t="s">
        <v>165</v>
      </c>
      <c r="N810" t="s">
        <v>154</v>
      </c>
    </row>
    <row r="811" spans="1:14" x14ac:dyDescent="0.25">
      <c r="A811" t="s">
        <v>53</v>
      </c>
      <c r="B811" t="s">
        <v>54</v>
      </c>
      <c r="C811" s="1">
        <v>42816</v>
      </c>
      <c r="D811" t="s">
        <v>133</v>
      </c>
      <c r="E811">
        <v>1</v>
      </c>
      <c r="F811" s="12">
        <v>190</v>
      </c>
      <c r="G811">
        <v>726</v>
      </c>
      <c r="H811" s="13">
        <v>137888.04999999999</v>
      </c>
      <c r="I811" s="1">
        <v>43051</v>
      </c>
      <c r="J811">
        <v>11</v>
      </c>
      <c r="K811">
        <v>206</v>
      </c>
      <c r="L811">
        <v>29</v>
      </c>
      <c r="M811" t="s">
        <v>158</v>
      </c>
      <c r="N811" t="s">
        <v>154</v>
      </c>
    </row>
    <row r="812" spans="1:14" x14ac:dyDescent="0.25">
      <c r="A812" t="s">
        <v>62</v>
      </c>
      <c r="B812" t="s">
        <v>57</v>
      </c>
      <c r="C812" s="1">
        <v>43724</v>
      </c>
      <c r="D812" t="s">
        <v>133</v>
      </c>
      <c r="E812">
        <v>1</v>
      </c>
      <c r="F812" s="12">
        <v>190</v>
      </c>
      <c r="G812">
        <v>511</v>
      </c>
      <c r="H812" s="13">
        <v>97038.05</v>
      </c>
      <c r="I812" s="1">
        <v>43972</v>
      </c>
      <c r="J812">
        <v>5</v>
      </c>
      <c r="K812">
        <v>278</v>
      </c>
      <c r="L812">
        <v>58</v>
      </c>
      <c r="M812" t="s">
        <v>159</v>
      </c>
      <c r="N812" t="s">
        <v>154</v>
      </c>
    </row>
    <row r="813" spans="1:14" x14ac:dyDescent="0.25">
      <c r="A813" t="s">
        <v>81</v>
      </c>
      <c r="B813" t="s">
        <v>78</v>
      </c>
      <c r="C813" s="1">
        <v>43932</v>
      </c>
      <c r="D813" t="s">
        <v>133</v>
      </c>
      <c r="E813">
        <v>1</v>
      </c>
      <c r="F813" s="12">
        <v>190</v>
      </c>
      <c r="G813">
        <v>547</v>
      </c>
      <c r="H813" s="13">
        <v>103878.05</v>
      </c>
      <c r="I813" s="1">
        <v>44432</v>
      </c>
      <c r="J813">
        <v>8</v>
      </c>
      <c r="K813">
        <v>216</v>
      </c>
      <c r="L813">
        <v>54</v>
      </c>
      <c r="M813" t="s">
        <v>156</v>
      </c>
      <c r="N813" t="s">
        <v>154</v>
      </c>
    </row>
    <row r="814" spans="1:14" x14ac:dyDescent="0.25">
      <c r="A814" t="s">
        <v>95</v>
      </c>
      <c r="B814" t="s">
        <v>96</v>
      </c>
      <c r="C814" s="1">
        <v>43758</v>
      </c>
      <c r="D814" t="s">
        <v>133</v>
      </c>
      <c r="E814">
        <v>1</v>
      </c>
      <c r="F814" s="12">
        <v>190</v>
      </c>
      <c r="G814">
        <v>498</v>
      </c>
      <c r="H814" s="13">
        <v>94568.05</v>
      </c>
      <c r="I814" s="1">
        <v>44034</v>
      </c>
      <c r="J814">
        <v>7</v>
      </c>
      <c r="K814">
        <v>318</v>
      </c>
      <c r="L814">
        <v>25</v>
      </c>
      <c r="M814" t="s">
        <v>160</v>
      </c>
      <c r="N814" t="s">
        <v>153</v>
      </c>
    </row>
    <row r="815" spans="1:14" x14ac:dyDescent="0.25">
      <c r="A815" t="s">
        <v>32</v>
      </c>
      <c r="B815" t="s">
        <v>28</v>
      </c>
      <c r="C815" s="1">
        <v>43161</v>
      </c>
      <c r="D815" t="s">
        <v>133</v>
      </c>
      <c r="E815">
        <v>1</v>
      </c>
      <c r="F815" s="12">
        <v>190</v>
      </c>
      <c r="G815">
        <v>868</v>
      </c>
      <c r="H815" s="13">
        <v>164868.04999999999</v>
      </c>
      <c r="I815" s="1">
        <v>43545</v>
      </c>
      <c r="J815">
        <v>3</v>
      </c>
      <c r="K815">
        <v>129</v>
      </c>
      <c r="L815">
        <v>20</v>
      </c>
      <c r="M815" t="s">
        <v>160</v>
      </c>
      <c r="N815" t="s">
        <v>154</v>
      </c>
    </row>
    <row r="816" spans="1:14" x14ac:dyDescent="0.25">
      <c r="A816" t="s">
        <v>114</v>
      </c>
      <c r="B816" t="s">
        <v>108</v>
      </c>
      <c r="C816" s="1">
        <v>42808</v>
      </c>
      <c r="D816" t="s">
        <v>133</v>
      </c>
      <c r="E816">
        <v>1</v>
      </c>
      <c r="F816" s="12">
        <v>190</v>
      </c>
      <c r="G816">
        <v>1188</v>
      </c>
      <c r="H816" s="13">
        <v>225668.05</v>
      </c>
      <c r="I816" s="1">
        <v>43867</v>
      </c>
      <c r="J816">
        <v>2</v>
      </c>
      <c r="K816">
        <v>20</v>
      </c>
      <c r="L816">
        <v>59</v>
      </c>
      <c r="M816" t="s">
        <v>159</v>
      </c>
      <c r="N816" t="s">
        <v>154</v>
      </c>
    </row>
    <row r="817" spans="1:14" x14ac:dyDescent="0.25">
      <c r="A817" t="s">
        <v>43</v>
      </c>
      <c r="B817" t="s">
        <v>37</v>
      </c>
      <c r="C817" s="1">
        <v>43490</v>
      </c>
      <c r="D817" t="s">
        <v>133</v>
      </c>
      <c r="E817">
        <v>1</v>
      </c>
      <c r="F817" s="12">
        <v>190</v>
      </c>
      <c r="G817">
        <v>170</v>
      </c>
      <c r="H817" s="13">
        <v>32248.05</v>
      </c>
      <c r="I817" s="1">
        <v>43595</v>
      </c>
      <c r="J817">
        <v>5</v>
      </c>
      <c r="K817">
        <v>127</v>
      </c>
      <c r="L817">
        <v>59</v>
      </c>
      <c r="M817" t="s">
        <v>159</v>
      </c>
      <c r="N817" t="s">
        <v>154</v>
      </c>
    </row>
    <row r="818" spans="1:14" x14ac:dyDescent="0.25">
      <c r="A818" t="s">
        <v>35</v>
      </c>
      <c r="B818" t="s">
        <v>3</v>
      </c>
      <c r="C818" s="1">
        <v>42465</v>
      </c>
      <c r="D818" t="s">
        <v>133</v>
      </c>
      <c r="E818">
        <v>1</v>
      </c>
      <c r="F818" s="12">
        <v>190</v>
      </c>
      <c r="G818">
        <v>704</v>
      </c>
      <c r="H818" s="13">
        <v>133708.04999999999</v>
      </c>
      <c r="I818" s="1">
        <v>44369</v>
      </c>
      <c r="J818">
        <v>6</v>
      </c>
      <c r="K818">
        <v>38</v>
      </c>
      <c r="L818">
        <v>53</v>
      </c>
      <c r="M818" t="s">
        <v>156</v>
      </c>
      <c r="N818" t="s">
        <v>154</v>
      </c>
    </row>
    <row r="819" spans="1:14" x14ac:dyDescent="0.25">
      <c r="A819" t="s">
        <v>97</v>
      </c>
      <c r="B819" t="s">
        <v>98</v>
      </c>
      <c r="C819" s="1">
        <v>42388</v>
      </c>
      <c r="D819" t="s">
        <v>133</v>
      </c>
      <c r="E819">
        <v>1</v>
      </c>
      <c r="F819" s="12">
        <v>190</v>
      </c>
      <c r="G819">
        <v>1761</v>
      </c>
      <c r="H819" s="13">
        <v>334538.05</v>
      </c>
      <c r="I819" s="1">
        <v>43206</v>
      </c>
      <c r="J819">
        <v>4</v>
      </c>
      <c r="K819">
        <v>402</v>
      </c>
      <c r="L819">
        <v>57</v>
      </c>
      <c r="M819" t="s">
        <v>159</v>
      </c>
      <c r="N819" t="s">
        <v>154</v>
      </c>
    </row>
    <row r="820" spans="1:14" x14ac:dyDescent="0.25">
      <c r="A820" t="s">
        <v>114</v>
      </c>
      <c r="B820" t="s">
        <v>108</v>
      </c>
      <c r="C820" s="1">
        <v>42808</v>
      </c>
      <c r="D820" t="s">
        <v>133</v>
      </c>
      <c r="E820">
        <v>1</v>
      </c>
      <c r="F820" s="12">
        <v>190</v>
      </c>
      <c r="G820">
        <v>461</v>
      </c>
      <c r="H820" s="13">
        <v>87538.05</v>
      </c>
      <c r="I820" s="1">
        <v>42933</v>
      </c>
      <c r="J820">
        <v>7</v>
      </c>
      <c r="K820">
        <v>186</v>
      </c>
      <c r="L820">
        <v>65</v>
      </c>
      <c r="M820" t="s">
        <v>157</v>
      </c>
      <c r="N820" t="s">
        <v>153</v>
      </c>
    </row>
    <row r="821" spans="1:14" x14ac:dyDescent="0.25">
      <c r="A821" t="s">
        <v>31</v>
      </c>
      <c r="B821" t="s">
        <v>27</v>
      </c>
      <c r="C821" s="1">
        <v>42433</v>
      </c>
      <c r="D821" t="s">
        <v>133</v>
      </c>
      <c r="E821">
        <v>1</v>
      </c>
      <c r="F821" s="12">
        <v>190</v>
      </c>
      <c r="G821">
        <v>1500</v>
      </c>
      <c r="H821" s="13">
        <v>284948.05</v>
      </c>
      <c r="I821" s="1">
        <v>43887</v>
      </c>
      <c r="J821">
        <v>2</v>
      </c>
      <c r="K821">
        <v>343</v>
      </c>
      <c r="L821">
        <v>54</v>
      </c>
      <c r="M821" t="s">
        <v>156</v>
      </c>
      <c r="N821" t="s">
        <v>154</v>
      </c>
    </row>
    <row r="822" spans="1:14" x14ac:dyDescent="0.25">
      <c r="A822" t="s">
        <v>118</v>
      </c>
      <c r="B822" t="s">
        <v>112</v>
      </c>
      <c r="C822" s="1">
        <v>43001</v>
      </c>
      <c r="D822" t="s">
        <v>133</v>
      </c>
      <c r="E822">
        <v>1</v>
      </c>
      <c r="F822" s="12">
        <v>190</v>
      </c>
      <c r="G822">
        <v>1268</v>
      </c>
      <c r="H822" s="13">
        <v>240868.05</v>
      </c>
      <c r="I822" s="1">
        <v>44234</v>
      </c>
      <c r="J822">
        <v>2</v>
      </c>
      <c r="K822">
        <v>197</v>
      </c>
      <c r="L822">
        <v>55</v>
      </c>
      <c r="M822" t="s">
        <v>156</v>
      </c>
      <c r="N822" t="s">
        <v>153</v>
      </c>
    </row>
    <row r="823" spans="1:14" x14ac:dyDescent="0.25">
      <c r="A823" t="s">
        <v>33</v>
      </c>
      <c r="B823" t="s">
        <v>29</v>
      </c>
      <c r="C823" s="1">
        <v>42795</v>
      </c>
      <c r="D823" t="s">
        <v>133</v>
      </c>
      <c r="E823">
        <v>1</v>
      </c>
      <c r="F823" s="12">
        <v>190</v>
      </c>
      <c r="G823">
        <v>252</v>
      </c>
      <c r="H823" s="13">
        <v>47828.05</v>
      </c>
      <c r="I823" s="1">
        <v>44319</v>
      </c>
      <c r="J823">
        <v>5</v>
      </c>
      <c r="K823">
        <v>600</v>
      </c>
      <c r="L823">
        <v>57</v>
      </c>
      <c r="M823" t="s">
        <v>159</v>
      </c>
      <c r="N823" t="s">
        <v>154</v>
      </c>
    </row>
    <row r="824" spans="1:14" x14ac:dyDescent="0.25">
      <c r="A824" t="s">
        <v>33</v>
      </c>
      <c r="B824" t="s">
        <v>29</v>
      </c>
      <c r="C824" s="1">
        <v>42795</v>
      </c>
      <c r="D824" t="s">
        <v>133</v>
      </c>
      <c r="E824">
        <v>1</v>
      </c>
      <c r="F824" s="12">
        <v>190</v>
      </c>
      <c r="G824">
        <v>445</v>
      </c>
      <c r="H824" s="13">
        <v>84498.05</v>
      </c>
      <c r="I824" s="1">
        <v>43586</v>
      </c>
      <c r="J824">
        <v>5</v>
      </c>
      <c r="K824">
        <v>97</v>
      </c>
      <c r="L824">
        <v>26</v>
      </c>
      <c r="M824" t="s">
        <v>158</v>
      </c>
      <c r="N824" t="s">
        <v>154</v>
      </c>
    </row>
    <row r="825" spans="1:14" x14ac:dyDescent="0.25">
      <c r="A825" t="s">
        <v>40</v>
      </c>
      <c r="B825" t="s">
        <v>0</v>
      </c>
      <c r="C825" s="1">
        <v>43287</v>
      </c>
      <c r="D825" t="s">
        <v>133</v>
      </c>
      <c r="E825">
        <v>1</v>
      </c>
      <c r="F825" s="12">
        <v>190</v>
      </c>
      <c r="G825">
        <v>456</v>
      </c>
      <c r="H825" s="13">
        <v>86588.05</v>
      </c>
      <c r="I825" s="1">
        <v>43346</v>
      </c>
      <c r="J825">
        <v>9</v>
      </c>
      <c r="K825">
        <v>123</v>
      </c>
      <c r="L825">
        <v>20</v>
      </c>
      <c r="M825" t="s">
        <v>160</v>
      </c>
      <c r="N825" t="s">
        <v>153</v>
      </c>
    </row>
    <row r="826" spans="1:14" x14ac:dyDescent="0.25">
      <c r="A826" t="s">
        <v>40</v>
      </c>
      <c r="B826" t="s">
        <v>0</v>
      </c>
      <c r="C826" s="1">
        <v>43287</v>
      </c>
      <c r="D826" t="s">
        <v>133</v>
      </c>
      <c r="E826">
        <v>1</v>
      </c>
      <c r="F826" s="12">
        <v>190</v>
      </c>
      <c r="G826">
        <v>572</v>
      </c>
      <c r="H826" s="13">
        <v>108628.05</v>
      </c>
      <c r="I826" s="1">
        <v>43838</v>
      </c>
      <c r="J826">
        <v>1</v>
      </c>
      <c r="K826">
        <v>249</v>
      </c>
      <c r="L826">
        <v>46</v>
      </c>
      <c r="M826" t="s">
        <v>163</v>
      </c>
      <c r="N826" t="s">
        <v>154</v>
      </c>
    </row>
    <row r="827" spans="1:14" x14ac:dyDescent="0.25">
      <c r="A827" t="s">
        <v>44</v>
      </c>
      <c r="B827" t="s">
        <v>2</v>
      </c>
      <c r="C827" s="1">
        <v>42641</v>
      </c>
      <c r="D827" t="s">
        <v>133</v>
      </c>
      <c r="E827">
        <v>1</v>
      </c>
      <c r="F827" s="12">
        <v>190</v>
      </c>
      <c r="G827">
        <v>295</v>
      </c>
      <c r="H827" s="13">
        <v>55998.05</v>
      </c>
      <c r="I827" s="1">
        <v>44123</v>
      </c>
      <c r="J827">
        <v>10</v>
      </c>
      <c r="K827">
        <v>20</v>
      </c>
      <c r="L827">
        <v>59</v>
      </c>
      <c r="M827" t="s">
        <v>159</v>
      </c>
      <c r="N827" t="s">
        <v>154</v>
      </c>
    </row>
    <row r="828" spans="1:14" x14ac:dyDescent="0.25">
      <c r="A828" t="s">
        <v>41</v>
      </c>
      <c r="B828" t="s">
        <v>36</v>
      </c>
      <c r="C828" s="1">
        <v>42880</v>
      </c>
      <c r="D828" t="s">
        <v>133</v>
      </c>
      <c r="E828">
        <v>1</v>
      </c>
      <c r="F828" s="12">
        <v>190</v>
      </c>
      <c r="G828">
        <v>269</v>
      </c>
      <c r="H828" s="13">
        <v>51058.05</v>
      </c>
      <c r="I828" s="1">
        <v>43994</v>
      </c>
      <c r="J828">
        <v>6</v>
      </c>
      <c r="K828">
        <v>581</v>
      </c>
      <c r="L828">
        <v>52</v>
      </c>
      <c r="M828" t="s">
        <v>156</v>
      </c>
      <c r="N828" t="s">
        <v>153</v>
      </c>
    </row>
    <row r="829" spans="1:14" x14ac:dyDescent="0.25">
      <c r="A829" t="s">
        <v>32</v>
      </c>
      <c r="B829" t="s">
        <v>28</v>
      </c>
      <c r="C829" s="1">
        <v>43161</v>
      </c>
      <c r="D829" t="s">
        <v>133</v>
      </c>
      <c r="E829">
        <v>1</v>
      </c>
      <c r="F829" s="12">
        <v>190</v>
      </c>
      <c r="G829">
        <v>309</v>
      </c>
      <c r="H829" s="13">
        <v>58658.05</v>
      </c>
      <c r="I829" s="1">
        <v>43697</v>
      </c>
      <c r="J829">
        <v>8</v>
      </c>
      <c r="K829">
        <v>218</v>
      </c>
      <c r="L829">
        <v>47</v>
      </c>
      <c r="M829" t="s">
        <v>163</v>
      </c>
      <c r="N829" t="s">
        <v>154</v>
      </c>
    </row>
    <row r="830" spans="1:14" x14ac:dyDescent="0.25">
      <c r="A830" t="s">
        <v>113</v>
      </c>
      <c r="B830" t="s">
        <v>107</v>
      </c>
      <c r="C830" s="1">
        <v>43912</v>
      </c>
      <c r="D830" t="s">
        <v>133</v>
      </c>
      <c r="E830">
        <v>1</v>
      </c>
      <c r="F830" s="12">
        <v>190</v>
      </c>
      <c r="G830">
        <v>205</v>
      </c>
      <c r="H830" s="13">
        <v>38898.050000000003</v>
      </c>
      <c r="I830" s="1">
        <v>44401</v>
      </c>
      <c r="J830">
        <v>7</v>
      </c>
      <c r="K830">
        <v>174</v>
      </c>
      <c r="L830">
        <v>40</v>
      </c>
      <c r="M830" t="s">
        <v>161</v>
      </c>
      <c r="N830" t="s">
        <v>153</v>
      </c>
    </row>
    <row r="831" spans="1:14" x14ac:dyDescent="0.25">
      <c r="A831" t="s">
        <v>74</v>
      </c>
      <c r="B831" t="s">
        <v>69</v>
      </c>
      <c r="C831" s="1">
        <v>42228</v>
      </c>
      <c r="D831" t="s">
        <v>133</v>
      </c>
      <c r="E831">
        <v>1</v>
      </c>
      <c r="F831" s="12">
        <v>190</v>
      </c>
      <c r="G831">
        <v>470</v>
      </c>
      <c r="H831" s="13">
        <v>89248.05</v>
      </c>
      <c r="I831" s="1">
        <v>42337</v>
      </c>
      <c r="J831">
        <v>11</v>
      </c>
      <c r="K831">
        <v>65</v>
      </c>
      <c r="L831">
        <v>30</v>
      </c>
      <c r="M831" t="s">
        <v>158</v>
      </c>
      <c r="N831" t="s">
        <v>153</v>
      </c>
    </row>
    <row r="832" spans="1:14" x14ac:dyDescent="0.25">
      <c r="A832" t="s">
        <v>114</v>
      </c>
      <c r="B832" t="s">
        <v>108</v>
      </c>
      <c r="C832" s="1">
        <v>42808</v>
      </c>
      <c r="D832" t="s">
        <v>133</v>
      </c>
      <c r="E832">
        <v>1</v>
      </c>
      <c r="F832" s="12">
        <v>190</v>
      </c>
      <c r="G832">
        <v>777</v>
      </c>
      <c r="H832" s="13">
        <v>147578.04999999999</v>
      </c>
      <c r="I832" s="1">
        <v>43281</v>
      </c>
      <c r="J832">
        <v>6</v>
      </c>
      <c r="K832">
        <v>442</v>
      </c>
      <c r="L832">
        <v>55</v>
      </c>
      <c r="M832" t="s">
        <v>156</v>
      </c>
      <c r="N832" t="s">
        <v>154</v>
      </c>
    </row>
    <row r="833" spans="1:14" x14ac:dyDescent="0.25">
      <c r="A833" t="s">
        <v>47</v>
      </c>
      <c r="B833" t="s">
        <v>48</v>
      </c>
      <c r="C833" s="1">
        <v>42542</v>
      </c>
      <c r="D833" t="s">
        <v>133</v>
      </c>
      <c r="E833">
        <v>1</v>
      </c>
      <c r="F833" s="12">
        <v>190</v>
      </c>
      <c r="G833">
        <v>737</v>
      </c>
      <c r="H833" s="13">
        <v>139978.04999999999</v>
      </c>
      <c r="I833" s="1">
        <v>42727</v>
      </c>
      <c r="J833">
        <v>12</v>
      </c>
      <c r="K833">
        <v>305</v>
      </c>
      <c r="L833">
        <v>51</v>
      </c>
      <c r="M833" t="s">
        <v>156</v>
      </c>
      <c r="N833" t="s">
        <v>154</v>
      </c>
    </row>
    <row r="834" spans="1:14" x14ac:dyDescent="0.25">
      <c r="A834" t="s">
        <v>34</v>
      </c>
      <c r="B834" t="s">
        <v>30</v>
      </c>
      <c r="C834" s="1">
        <v>43765</v>
      </c>
      <c r="D834" t="s">
        <v>133</v>
      </c>
      <c r="E834">
        <v>1</v>
      </c>
      <c r="F834" s="12">
        <v>190</v>
      </c>
      <c r="G834">
        <v>1069</v>
      </c>
      <c r="H834" s="13">
        <v>203058.05</v>
      </c>
      <c r="I834" s="1">
        <v>44308</v>
      </c>
      <c r="J834">
        <v>4</v>
      </c>
      <c r="K834">
        <v>95</v>
      </c>
      <c r="L834">
        <v>38</v>
      </c>
      <c r="M834" t="s">
        <v>161</v>
      </c>
      <c r="N834" t="s">
        <v>153</v>
      </c>
    </row>
    <row r="835" spans="1:14" x14ac:dyDescent="0.25">
      <c r="A835" t="s">
        <v>80</v>
      </c>
      <c r="B835" t="s">
        <v>77</v>
      </c>
      <c r="C835" s="1">
        <v>43282</v>
      </c>
      <c r="D835" t="s">
        <v>133</v>
      </c>
      <c r="E835">
        <v>1</v>
      </c>
      <c r="F835" s="12">
        <v>190</v>
      </c>
      <c r="G835">
        <v>461</v>
      </c>
      <c r="H835" s="13">
        <v>87538.05</v>
      </c>
      <c r="I835" s="1">
        <v>44431</v>
      </c>
      <c r="J835">
        <v>8</v>
      </c>
      <c r="K835">
        <v>489</v>
      </c>
      <c r="L835">
        <v>47</v>
      </c>
      <c r="M835" t="s">
        <v>163</v>
      </c>
      <c r="N835" t="s">
        <v>154</v>
      </c>
    </row>
    <row r="836" spans="1:14" x14ac:dyDescent="0.25">
      <c r="A836" t="s">
        <v>74</v>
      </c>
      <c r="B836" t="s">
        <v>69</v>
      </c>
      <c r="C836" s="1">
        <v>42228</v>
      </c>
      <c r="D836" t="s">
        <v>133</v>
      </c>
      <c r="E836">
        <v>1</v>
      </c>
      <c r="F836" s="12">
        <v>190</v>
      </c>
      <c r="G836">
        <v>1770</v>
      </c>
      <c r="H836" s="13">
        <v>336248.05</v>
      </c>
      <c r="I836" s="1">
        <v>43568</v>
      </c>
      <c r="J836">
        <v>4</v>
      </c>
      <c r="K836">
        <v>320</v>
      </c>
      <c r="L836">
        <v>55</v>
      </c>
      <c r="M836" t="s">
        <v>156</v>
      </c>
      <c r="N836" t="s">
        <v>154</v>
      </c>
    </row>
    <row r="837" spans="1:14" x14ac:dyDescent="0.25">
      <c r="A837" t="s">
        <v>117</v>
      </c>
      <c r="B837" t="s">
        <v>111</v>
      </c>
      <c r="C837" s="1">
        <v>42729</v>
      </c>
      <c r="D837" t="s">
        <v>133</v>
      </c>
      <c r="E837">
        <v>1</v>
      </c>
      <c r="F837" s="12">
        <v>190</v>
      </c>
      <c r="G837">
        <v>704</v>
      </c>
      <c r="H837" s="13">
        <v>133708.04999999999</v>
      </c>
      <c r="I837" s="1">
        <v>44098</v>
      </c>
      <c r="J837">
        <v>9</v>
      </c>
      <c r="K837">
        <v>304</v>
      </c>
      <c r="L837">
        <v>20</v>
      </c>
      <c r="M837" t="s">
        <v>160</v>
      </c>
      <c r="N837" t="s">
        <v>153</v>
      </c>
    </row>
    <row r="838" spans="1:14" x14ac:dyDescent="0.25">
      <c r="A838" t="s">
        <v>46</v>
      </c>
      <c r="B838" t="s">
        <v>39</v>
      </c>
      <c r="C838" s="1">
        <v>43490</v>
      </c>
      <c r="D838" t="s">
        <v>133</v>
      </c>
      <c r="E838">
        <v>1</v>
      </c>
      <c r="F838" s="12">
        <v>190</v>
      </c>
      <c r="G838">
        <v>762</v>
      </c>
      <c r="H838" s="13">
        <v>144728.04999999999</v>
      </c>
      <c r="I838" s="1">
        <v>43997</v>
      </c>
      <c r="J838">
        <v>6</v>
      </c>
      <c r="K838">
        <v>465</v>
      </c>
      <c r="L838">
        <v>54</v>
      </c>
      <c r="M838" t="s">
        <v>156</v>
      </c>
      <c r="N838" t="s">
        <v>154</v>
      </c>
    </row>
    <row r="839" spans="1:14" x14ac:dyDescent="0.25">
      <c r="A839" t="s">
        <v>89</v>
      </c>
      <c r="B839" t="s">
        <v>85</v>
      </c>
      <c r="C839" s="1">
        <v>43093</v>
      </c>
      <c r="D839" t="s">
        <v>133</v>
      </c>
      <c r="E839">
        <v>1</v>
      </c>
      <c r="F839" s="12">
        <v>190</v>
      </c>
      <c r="G839">
        <v>677</v>
      </c>
      <c r="H839" s="13">
        <v>128578.05</v>
      </c>
      <c r="I839" s="1">
        <v>43449</v>
      </c>
      <c r="J839">
        <v>12</v>
      </c>
      <c r="K839">
        <v>223</v>
      </c>
      <c r="L839">
        <v>59</v>
      </c>
      <c r="M839" t="s">
        <v>159</v>
      </c>
      <c r="N839" t="s">
        <v>153</v>
      </c>
    </row>
    <row r="840" spans="1:14" x14ac:dyDescent="0.25">
      <c r="A840" t="s">
        <v>43</v>
      </c>
      <c r="B840" t="s">
        <v>37</v>
      </c>
      <c r="C840" s="1">
        <v>43490</v>
      </c>
      <c r="D840" t="s">
        <v>133</v>
      </c>
      <c r="E840">
        <v>1</v>
      </c>
      <c r="F840" s="12">
        <v>190</v>
      </c>
      <c r="G840">
        <v>1605</v>
      </c>
      <c r="H840" s="13">
        <v>304898.05</v>
      </c>
      <c r="I840" s="1">
        <v>44276</v>
      </c>
      <c r="J840">
        <v>3</v>
      </c>
      <c r="K840">
        <v>581</v>
      </c>
      <c r="L840">
        <v>52</v>
      </c>
      <c r="M840" t="s">
        <v>156</v>
      </c>
      <c r="N840" t="s">
        <v>153</v>
      </c>
    </row>
    <row r="841" spans="1:14" x14ac:dyDescent="0.25">
      <c r="A841" t="s">
        <v>95</v>
      </c>
      <c r="B841" t="s">
        <v>96</v>
      </c>
      <c r="C841" s="1">
        <v>43758</v>
      </c>
      <c r="D841" t="s">
        <v>133</v>
      </c>
      <c r="E841">
        <v>1</v>
      </c>
      <c r="F841" s="12">
        <v>190</v>
      </c>
      <c r="G841">
        <v>618</v>
      </c>
      <c r="H841" s="13">
        <v>117368.05</v>
      </c>
      <c r="I841" s="1">
        <v>43845</v>
      </c>
      <c r="J841">
        <v>1</v>
      </c>
      <c r="K841">
        <v>484</v>
      </c>
      <c r="L841">
        <v>68</v>
      </c>
      <c r="M841" t="s">
        <v>165</v>
      </c>
      <c r="N841" t="s">
        <v>154</v>
      </c>
    </row>
    <row r="842" spans="1:14" x14ac:dyDescent="0.25">
      <c r="A842" t="s">
        <v>43</v>
      </c>
      <c r="B842" t="s">
        <v>37</v>
      </c>
      <c r="C842" s="1">
        <v>43490</v>
      </c>
      <c r="D842" t="s">
        <v>133</v>
      </c>
      <c r="E842">
        <v>1</v>
      </c>
      <c r="F842" s="12">
        <v>190</v>
      </c>
      <c r="G842">
        <v>125</v>
      </c>
      <c r="H842" s="13">
        <v>23698.05</v>
      </c>
      <c r="I842" s="1">
        <v>43706</v>
      </c>
      <c r="J842">
        <v>8</v>
      </c>
      <c r="K842">
        <v>554</v>
      </c>
      <c r="L842">
        <v>35</v>
      </c>
      <c r="M842" t="s">
        <v>164</v>
      </c>
      <c r="N842" t="s">
        <v>153</v>
      </c>
    </row>
    <row r="843" spans="1:14" x14ac:dyDescent="0.25">
      <c r="A843" t="s">
        <v>35</v>
      </c>
      <c r="B843" t="s">
        <v>3</v>
      </c>
      <c r="C843" s="1">
        <v>42465</v>
      </c>
      <c r="D843" t="s">
        <v>133</v>
      </c>
      <c r="E843">
        <v>1</v>
      </c>
      <c r="F843" s="12">
        <v>190</v>
      </c>
      <c r="G843">
        <v>765</v>
      </c>
      <c r="H843" s="13">
        <v>145298.04999999999</v>
      </c>
      <c r="I843" s="1">
        <v>44423</v>
      </c>
      <c r="J843">
        <v>8</v>
      </c>
      <c r="K843">
        <v>262</v>
      </c>
      <c r="L843">
        <v>57</v>
      </c>
      <c r="M843" t="s">
        <v>159</v>
      </c>
      <c r="N843" t="s">
        <v>153</v>
      </c>
    </row>
    <row r="844" spans="1:14" x14ac:dyDescent="0.25">
      <c r="A844" t="s">
        <v>82</v>
      </c>
      <c r="B844" t="s">
        <v>79</v>
      </c>
      <c r="C844" s="1">
        <v>43278</v>
      </c>
      <c r="D844" t="s">
        <v>133</v>
      </c>
      <c r="E844">
        <v>1</v>
      </c>
      <c r="F844" s="12">
        <v>190</v>
      </c>
      <c r="G844">
        <v>1359</v>
      </c>
      <c r="H844" s="13">
        <v>258158.05</v>
      </c>
      <c r="I844" s="1">
        <v>43563</v>
      </c>
      <c r="J844">
        <v>4</v>
      </c>
      <c r="K844">
        <v>340</v>
      </c>
      <c r="L844">
        <v>64</v>
      </c>
      <c r="M844" t="s">
        <v>157</v>
      </c>
      <c r="N844" t="s">
        <v>154</v>
      </c>
    </row>
    <row r="845" spans="1:14" x14ac:dyDescent="0.25">
      <c r="A845" t="s">
        <v>32</v>
      </c>
      <c r="B845" t="s">
        <v>28</v>
      </c>
      <c r="C845" s="1">
        <v>43161</v>
      </c>
      <c r="D845" t="s">
        <v>133</v>
      </c>
      <c r="E845">
        <v>1</v>
      </c>
      <c r="F845" s="12">
        <v>190</v>
      </c>
      <c r="G845">
        <v>210</v>
      </c>
      <c r="H845" s="13">
        <v>39848.050000000003</v>
      </c>
      <c r="I845" s="1">
        <v>44445</v>
      </c>
      <c r="J845">
        <v>9</v>
      </c>
      <c r="K845">
        <v>28</v>
      </c>
      <c r="L845">
        <v>55</v>
      </c>
      <c r="M845" t="s">
        <v>156</v>
      </c>
      <c r="N845" t="s">
        <v>154</v>
      </c>
    </row>
    <row r="846" spans="1:14" x14ac:dyDescent="0.25">
      <c r="A846" t="s">
        <v>52</v>
      </c>
      <c r="B846" t="s">
        <v>50</v>
      </c>
      <c r="C846" s="1">
        <v>43917</v>
      </c>
      <c r="D846" t="s">
        <v>133</v>
      </c>
      <c r="E846">
        <v>1</v>
      </c>
      <c r="F846" s="12">
        <v>190</v>
      </c>
      <c r="G846">
        <v>343</v>
      </c>
      <c r="H846" s="13">
        <v>65118.05</v>
      </c>
      <c r="I846" s="1">
        <v>44431</v>
      </c>
      <c r="J846">
        <v>8</v>
      </c>
      <c r="K846">
        <v>294</v>
      </c>
      <c r="L846">
        <v>42</v>
      </c>
      <c r="M846" t="s">
        <v>162</v>
      </c>
      <c r="N846" t="s">
        <v>154</v>
      </c>
    </row>
    <row r="847" spans="1:14" x14ac:dyDescent="0.25">
      <c r="A847" t="s">
        <v>91</v>
      </c>
      <c r="B847" t="s">
        <v>87</v>
      </c>
      <c r="C847" s="1">
        <v>43557</v>
      </c>
      <c r="D847" t="s">
        <v>133</v>
      </c>
      <c r="E847">
        <v>1</v>
      </c>
      <c r="F847" s="12">
        <v>190</v>
      </c>
      <c r="G847">
        <v>208</v>
      </c>
      <c r="H847" s="13">
        <v>39468.050000000003</v>
      </c>
      <c r="I847" s="1">
        <v>43634</v>
      </c>
      <c r="J847">
        <v>6</v>
      </c>
      <c r="K847">
        <v>180</v>
      </c>
      <c r="L847">
        <v>60</v>
      </c>
      <c r="M847" t="s">
        <v>159</v>
      </c>
      <c r="N847" t="s">
        <v>154</v>
      </c>
    </row>
    <row r="848" spans="1:14" x14ac:dyDescent="0.25">
      <c r="A848" t="s">
        <v>95</v>
      </c>
      <c r="B848" t="s">
        <v>96</v>
      </c>
      <c r="C848" s="1">
        <v>43758</v>
      </c>
      <c r="D848" t="s">
        <v>133</v>
      </c>
      <c r="E848">
        <v>1</v>
      </c>
      <c r="F848" s="12">
        <v>190</v>
      </c>
      <c r="G848">
        <v>441</v>
      </c>
      <c r="H848" s="13">
        <v>83738.05</v>
      </c>
      <c r="I848" s="1">
        <v>44144</v>
      </c>
      <c r="J848">
        <v>11</v>
      </c>
      <c r="K848">
        <v>88</v>
      </c>
      <c r="L848">
        <v>35</v>
      </c>
      <c r="M848" t="s">
        <v>164</v>
      </c>
      <c r="N848" t="s">
        <v>153</v>
      </c>
    </row>
    <row r="849" spans="1:14" x14ac:dyDescent="0.25">
      <c r="A849" t="s">
        <v>41</v>
      </c>
      <c r="B849" t="s">
        <v>36</v>
      </c>
      <c r="C849" s="1">
        <v>42880</v>
      </c>
      <c r="D849" t="s">
        <v>133</v>
      </c>
      <c r="E849">
        <v>1</v>
      </c>
      <c r="F849" s="12">
        <v>190</v>
      </c>
      <c r="G849">
        <v>410</v>
      </c>
      <c r="H849" s="13">
        <v>77848.05</v>
      </c>
      <c r="I849" s="1">
        <v>44104</v>
      </c>
      <c r="J849">
        <v>9</v>
      </c>
      <c r="K849">
        <v>382</v>
      </c>
      <c r="L849">
        <v>50</v>
      </c>
      <c r="M849" t="s">
        <v>163</v>
      </c>
      <c r="N849" t="s">
        <v>154</v>
      </c>
    </row>
    <row r="850" spans="1:14" x14ac:dyDescent="0.25">
      <c r="A850" t="s">
        <v>102</v>
      </c>
      <c r="B850" t="s">
        <v>99</v>
      </c>
      <c r="C850" s="1">
        <v>43488</v>
      </c>
      <c r="D850" t="s">
        <v>133</v>
      </c>
      <c r="E850">
        <v>1</v>
      </c>
      <c r="F850" s="12">
        <v>190</v>
      </c>
      <c r="G850">
        <v>445</v>
      </c>
      <c r="H850" s="13">
        <v>84498.05</v>
      </c>
      <c r="I850" s="1">
        <v>43837</v>
      </c>
      <c r="J850">
        <v>1</v>
      </c>
      <c r="K850">
        <v>273</v>
      </c>
      <c r="L850">
        <v>60</v>
      </c>
      <c r="M850" t="s">
        <v>159</v>
      </c>
      <c r="N850" t="s">
        <v>154</v>
      </c>
    </row>
    <row r="851" spans="1:14" x14ac:dyDescent="0.25">
      <c r="A851" t="s">
        <v>118</v>
      </c>
      <c r="B851" t="s">
        <v>112</v>
      </c>
      <c r="C851" s="1">
        <v>43001</v>
      </c>
      <c r="D851" t="s">
        <v>133</v>
      </c>
      <c r="E851">
        <v>1</v>
      </c>
      <c r="F851" s="12">
        <v>190</v>
      </c>
      <c r="G851">
        <v>650</v>
      </c>
      <c r="H851" s="13">
        <v>123448.05</v>
      </c>
      <c r="I851" s="1">
        <v>43170</v>
      </c>
      <c r="J851">
        <v>3</v>
      </c>
      <c r="K851">
        <v>271</v>
      </c>
      <c r="L851">
        <v>54</v>
      </c>
      <c r="M851" t="s">
        <v>156</v>
      </c>
      <c r="N851" t="s">
        <v>154</v>
      </c>
    </row>
    <row r="852" spans="1:14" x14ac:dyDescent="0.25">
      <c r="A852" t="s">
        <v>52</v>
      </c>
      <c r="B852" t="s">
        <v>50</v>
      </c>
      <c r="C852" s="1">
        <v>43917</v>
      </c>
      <c r="D852" t="s">
        <v>133</v>
      </c>
      <c r="E852">
        <v>1</v>
      </c>
      <c r="F852" s="12">
        <v>190</v>
      </c>
      <c r="G852">
        <v>271</v>
      </c>
      <c r="H852" s="13">
        <v>51438.05</v>
      </c>
      <c r="I852" s="1">
        <v>43988</v>
      </c>
      <c r="J852">
        <v>6</v>
      </c>
      <c r="K852">
        <v>446</v>
      </c>
      <c r="L852">
        <v>32</v>
      </c>
      <c r="M852" t="s">
        <v>164</v>
      </c>
      <c r="N852" t="s">
        <v>153</v>
      </c>
    </row>
    <row r="853" spans="1:14" x14ac:dyDescent="0.25">
      <c r="A853" t="s">
        <v>60</v>
      </c>
      <c r="B853" t="s">
        <v>55</v>
      </c>
      <c r="C853" s="1">
        <v>43555</v>
      </c>
      <c r="D853" t="s">
        <v>133</v>
      </c>
      <c r="E853">
        <v>1</v>
      </c>
      <c r="F853" s="12">
        <v>190</v>
      </c>
      <c r="G853">
        <v>740</v>
      </c>
      <c r="H853" s="13">
        <v>140548.04999999999</v>
      </c>
      <c r="I853" s="1">
        <v>44104</v>
      </c>
      <c r="J853">
        <v>9</v>
      </c>
      <c r="K853">
        <v>75</v>
      </c>
      <c r="L853">
        <v>59</v>
      </c>
      <c r="M853" t="s">
        <v>159</v>
      </c>
      <c r="N853" t="s">
        <v>153</v>
      </c>
    </row>
    <row r="854" spans="1:14" x14ac:dyDescent="0.25">
      <c r="A854" t="s">
        <v>82</v>
      </c>
      <c r="B854" t="s">
        <v>79</v>
      </c>
      <c r="C854" s="1">
        <v>43278</v>
      </c>
      <c r="D854" t="s">
        <v>133</v>
      </c>
      <c r="E854">
        <v>1</v>
      </c>
      <c r="F854" s="12">
        <v>190</v>
      </c>
      <c r="G854">
        <v>823</v>
      </c>
      <c r="H854" s="13">
        <v>156318.04999999999</v>
      </c>
      <c r="I854" s="1">
        <v>44236</v>
      </c>
      <c r="J854">
        <v>2</v>
      </c>
      <c r="K854">
        <v>187</v>
      </c>
      <c r="L854">
        <v>34</v>
      </c>
      <c r="M854" t="s">
        <v>164</v>
      </c>
      <c r="N854" t="s">
        <v>153</v>
      </c>
    </row>
    <row r="855" spans="1:14" x14ac:dyDescent="0.25">
      <c r="A855" t="s">
        <v>46</v>
      </c>
      <c r="B855" t="s">
        <v>39</v>
      </c>
      <c r="C855" s="1">
        <v>43490</v>
      </c>
      <c r="D855" t="s">
        <v>133</v>
      </c>
      <c r="E855">
        <v>1</v>
      </c>
      <c r="F855" s="12">
        <v>190</v>
      </c>
      <c r="G855">
        <v>548</v>
      </c>
      <c r="H855" s="13">
        <v>104068.05</v>
      </c>
      <c r="I855" s="1">
        <v>43992</v>
      </c>
      <c r="J855">
        <v>6</v>
      </c>
      <c r="K855">
        <v>124</v>
      </c>
      <c r="L855">
        <v>35</v>
      </c>
      <c r="M855" t="s">
        <v>164</v>
      </c>
      <c r="N855" t="s">
        <v>153</v>
      </c>
    </row>
    <row r="856" spans="1:14" x14ac:dyDescent="0.25">
      <c r="A856" t="s">
        <v>89</v>
      </c>
      <c r="B856" t="s">
        <v>85</v>
      </c>
      <c r="C856" s="1">
        <v>43093</v>
      </c>
      <c r="D856" t="s">
        <v>133</v>
      </c>
      <c r="E856">
        <v>1</v>
      </c>
      <c r="F856" s="12">
        <v>190</v>
      </c>
      <c r="G856">
        <v>668</v>
      </c>
      <c r="H856" s="13">
        <v>126868.05</v>
      </c>
      <c r="I856" s="1">
        <v>43839</v>
      </c>
      <c r="J856">
        <v>1</v>
      </c>
      <c r="K856">
        <v>221</v>
      </c>
      <c r="L856">
        <v>35</v>
      </c>
      <c r="M856" t="s">
        <v>164</v>
      </c>
      <c r="N856" t="s">
        <v>153</v>
      </c>
    </row>
    <row r="857" spans="1:14" x14ac:dyDescent="0.25">
      <c r="A857" t="s">
        <v>64</v>
      </c>
      <c r="B857" t="s">
        <v>59</v>
      </c>
      <c r="C857" s="1">
        <v>43153</v>
      </c>
      <c r="D857" t="s">
        <v>133</v>
      </c>
      <c r="E857">
        <v>1</v>
      </c>
      <c r="F857" s="12">
        <v>190</v>
      </c>
      <c r="G857">
        <v>1454</v>
      </c>
      <c r="H857" s="13">
        <v>276208.05</v>
      </c>
      <c r="I857" s="1">
        <v>43175</v>
      </c>
      <c r="J857">
        <v>3</v>
      </c>
      <c r="K857">
        <v>475</v>
      </c>
      <c r="L857">
        <v>53</v>
      </c>
      <c r="M857" t="s">
        <v>156</v>
      </c>
      <c r="N857" t="s">
        <v>154</v>
      </c>
    </row>
    <row r="858" spans="1:14" x14ac:dyDescent="0.25">
      <c r="A858" t="s">
        <v>118</v>
      </c>
      <c r="B858" t="s">
        <v>112</v>
      </c>
      <c r="C858" s="1">
        <v>43001</v>
      </c>
      <c r="D858" t="s">
        <v>133</v>
      </c>
      <c r="E858">
        <v>1</v>
      </c>
      <c r="F858" s="12">
        <v>190</v>
      </c>
      <c r="G858">
        <v>1235</v>
      </c>
      <c r="H858" s="13">
        <v>234598.05</v>
      </c>
      <c r="I858" s="1">
        <v>43874</v>
      </c>
      <c r="J858">
        <v>2</v>
      </c>
      <c r="K858">
        <v>399</v>
      </c>
      <c r="L858">
        <v>59</v>
      </c>
      <c r="M858" t="s">
        <v>159</v>
      </c>
      <c r="N858" t="s">
        <v>154</v>
      </c>
    </row>
    <row r="859" spans="1:14" x14ac:dyDescent="0.25">
      <c r="A859" t="s">
        <v>33</v>
      </c>
      <c r="B859" t="s">
        <v>29</v>
      </c>
      <c r="C859" s="1">
        <v>42795</v>
      </c>
      <c r="D859" t="s">
        <v>133</v>
      </c>
      <c r="E859">
        <v>1</v>
      </c>
      <c r="F859" s="12">
        <v>190</v>
      </c>
      <c r="G859">
        <v>1843</v>
      </c>
      <c r="H859" s="13">
        <v>350118.05</v>
      </c>
      <c r="I859" s="1">
        <v>44289</v>
      </c>
      <c r="J859">
        <v>4</v>
      </c>
      <c r="K859">
        <v>154</v>
      </c>
      <c r="L859">
        <v>35</v>
      </c>
      <c r="M859" t="s">
        <v>164</v>
      </c>
      <c r="N859" t="s">
        <v>153</v>
      </c>
    </row>
    <row r="860" spans="1:14" x14ac:dyDescent="0.25">
      <c r="A860" t="s">
        <v>42</v>
      </c>
      <c r="B860" t="s">
        <v>1</v>
      </c>
      <c r="C860" s="1">
        <v>43712</v>
      </c>
      <c r="D860" t="s">
        <v>133</v>
      </c>
      <c r="E860">
        <v>1</v>
      </c>
      <c r="F860" s="12">
        <v>190</v>
      </c>
      <c r="G860">
        <v>676</v>
      </c>
      <c r="H860" s="13">
        <v>128388.05</v>
      </c>
      <c r="I860" s="1">
        <v>44013</v>
      </c>
      <c r="J860">
        <v>7</v>
      </c>
      <c r="K860">
        <v>394</v>
      </c>
      <c r="L860">
        <v>58</v>
      </c>
      <c r="M860" t="s">
        <v>159</v>
      </c>
      <c r="N860" t="s">
        <v>154</v>
      </c>
    </row>
    <row r="861" spans="1:14" x14ac:dyDescent="0.25">
      <c r="A861" t="s">
        <v>92</v>
      </c>
      <c r="B861" t="s">
        <v>88</v>
      </c>
      <c r="C861" s="1">
        <v>42660</v>
      </c>
      <c r="D861" t="s">
        <v>133</v>
      </c>
      <c r="E861">
        <v>1</v>
      </c>
      <c r="F861" s="12">
        <v>190</v>
      </c>
      <c r="G861">
        <v>1889</v>
      </c>
      <c r="H861" s="13">
        <v>358858.05</v>
      </c>
      <c r="I861" s="1">
        <v>42774</v>
      </c>
      <c r="J861">
        <v>2</v>
      </c>
      <c r="K861">
        <v>309</v>
      </c>
      <c r="L861">
        <v>55</v>
      </c>
      <c r="M861" t="s">
        <v>156</v>
      </c>
      <c r="N861" t="s">
        <v>154</v>
      </c>
    </row>
    <row r="862" spans="1:14" x14ac:dyDescent="0.25">
      <c r="A862" t="s">
        <v>46</v>
      </c>
      <c r="B862" t="s">
        <v>39</v>
      </c>
      <c r="C862" s="1">
        <v>43490</v>
      </c>
      <c r="D862" t="s">
        <v>133</v>
      </c>
      <c r="E862">
        <v>1</v>
      </c>
      <c r="F862" s="12">
        <v>190</v>
      </c>
      <c r="G862">
        <v>158</v>
      </c>
      <c r="H862" s="13">
        <v>29968.05</v>
      </c>
      <c r="I862" s="1">
        <v>43775</v>
      </c>
      <c r="J862">
        <v>11</v>
      </c>
      <c r="K862">
        <v>24</v>
      </c>
      <c r="L862">
        <v>35</v>
      </c>
      <c r="M862" t="s">
        <v>164</v>
      </c>
      <c r="N862" t="s">
        <v>153</v>
      </c>
    </row>
    <row r="863" spans="1:14" x14ac:dyDescent="0.25">
      <c r="A863" t="s">
        <v>47</v>
      </c>
      <c r="B863" t="s">
        <v>48</v>
      </c>
      <c r="C863" s="1">
        <v>42542</v>
      </c>
      <c r="D863" t="s">
        <v>133</v>
      </c>
      <c r="E863">
        <v>1</v>
      </c>
      <c r="F863" s="12">
        <v>190</v>
      </c>
      <c r="G863">
        <v>121</v>
      </c>
      <c r="H863" s="13">
        <v>22938.05</v>
      </c>
      <c r="I863" s="1">
        <v>44108</v>
      </c>
      <c r="J863">
        <v>10</v>
      </c>
      <c r="K863">
        <v>566</v>
      </c>
      <c r="L863">
        <v>34</v>
      </c>
      <c r="M863" t="s">
        <v>164</v>
      </c>
      <c r="N863" t="s">
        <v>153</v>
      </c>
    </row>
    <row r="864" spans="1:14" x14ac:dyDescent="0.25">
      <c r="A864" t="s">
        <v>53</v>
      </c>
      <c r="B864" t="s">
        <v>54</v>
      </c>
      <c r="C864" s="1">
        <v>42816</v>
      </c>
      <c r="D864" t="s">
        <v>133</v>
      </c>
      <c r="E864">
        <v>1</v>
      </c>
      <c r="F864" s="12">
        <v>190</v>
      </c>
      <c r="G864">
        <v>453</v>
      </c>
      <c r="H864" s="13">
        <v>86018.05</v>
      </c>
      <c r="I864" s="1">
        <v>43635</v>
      </c>
      <c r="J864">
        <v>6</v>
      </c>
      <c r="K864">
        <v>571</v>
      </c>
      <c r="L864">
        <v>68</v>
      </c>
      <c r="M864" t="s">
        <v>165</v>
      </c>
      <c r="N864" t="s">
        <v>154</v>
      </c>
    </row>
    <row r="865" spans="1:14" x14ac:dyDescent="0.25">
      <c r="A865" t="s">
        <v>73</v>
      </c>
      <c r="B865" t="s">
        <v>68</v>
      </c>
      <c r="C865" s="1">
        <v>43097</v>
      </c>
      <c r="D865" t="s">
        <v>133</v>
      </c>
      <c r="E865">
        <v>1</v>
      </c>
      <c r="F865" s="12">
        <v>190</v>
      </c>
      <c r="G865">
        <v>528</v>
      </c>
      <c r="H865" s="13">
        <v>100268.05</v>
      </c>
      <c r="I865" s="1">
        <v>43301</v>
      </c>
      <c r="J865">
        <v>7</v>
      </c>
      <c r="K865">
        <v>540</v>
      </c>
      <c r="L865">
        <v>55</v>
      </c>
      <c r="M865" t="s">
        <v>156</v>
      </c>
      <c r="N865" t="s">
        <v>154</v>
      </c>
    </row>
    <row r="866" spans="1:14" x14ac:dyDescent="0.25">
      <c r="A866" t="s">
        <v>74</v>
      </c>
      <c r="B866" t="s">
        <v>69</v>
      </c>
      <c r="C866" s="1">
        <v>42228</v>
      </c>
      <c r="D866" t="s">
        <v>133</v>
      </c>
      <c r="E866">
        <v>1</v>
      </c>
      <c r="F866" s="12">
        <v>190</v>
      </c>
      <c r="G866">
        <v>752</v>
      </c>
      <c r="H866" s="13">
        <v>142828.04999999999</v>
      </c>
      <c r="I866" s="1">
        <v>44446</v>
      </c>
      <c r="J866">
        <v>9</v>
      </c>
      <c r="K866">
        <v>7</v>
      </c>
      <c r="L866">
        <v>30</v>
      </c>
      <c r="M866" t="s">
        <v>158</v>
      </c>
      <c r="N866" t="s">
        <v>153</v>
      </c>
    </row>
    <row r="867" spans="1:14" x14ac:dyDescent="0.25">
      <c r="A867" t="s">
        <v>83</v>
      </c>
      <c r="B867" t="s">
        <v>84</v>
      </c>
      <c r="C867" s="1">
        <v>43427</v>
      </c>
      <c r="D867" t="s">
        <v>133</v>
      </c>
      <c r="E867">
        <v>1</v>
      </c>
      <c r="F867" s="12">
        <v>190</v>
      </c>
      <c r="G867">
        <v>214</v>
      </c>
      <c r="H867" s="13">
        <v>40608.050000000003</v>
      </c>
      <c r="I867" s="1">
        <v>43835</v>
      </c>
      <c r="J867">
        <v>1</v>
      </c>
      <c r="K867">
        <v>267</v>
      </c>
      <c r="L867">
        <v>24</v>
      </c>
      <c r="M867" t="s">
        <v>160</v>
      </c>
      <c r="N867" t="s">
        <v>153</v>
      </c>
    </row>
    <row r="868" spans="1:14" x14ac:dyDescent="0.25">
      <c r="A868" t="s">
        <v>92</v>
      </c>
      <c r="B868" t="s">
        <v>88</v>
      </c>
      <c r="C868" s="1">
        <v>42660</v>
      </c>
      <c r="D868" t="s">
        <v>133</v>
      </c>
      <c r="E868">
        <v>1</v>
      </c>
      <c r="F868" s="12">
        <v>190</v>
      </c>
      <c r="G868">
        <v>771</v>
      </c>
      <c r="H868" s="13">
        <v>146438.04999999999</v>
      </c>
      <c r="I868" s="1">
        <v>43303</v>
      </c>
      <c r="J868">
        <v>7</v>
      </c>
      <c r="K868">
        <v>494</v>
      </c>
      <c r="L868">
        <v>59</v>
      </c>
      <c r="M868" t="s">
        <v>159</v>
      </c>
      <c r="N868" t="s">
        <v>154</v>
      </c>
    </row>
    <row r="869" spans="1:14" x14ac:dyDescent="0.25">
      <c r="A869" t="s">
        <v>105</v>
      </c>
      <c r="B869" t="s">
        <v>106</v>
      </c>
      <c r="C869" s="1">
        <v>43451</v>
      </c>
      <c r="D869" t="s">
        <v>133</v>
      </c>
      <c r="E869">
        <v>1</v>
      </c>
      <c r="F869" s="12">
        <v>190</v>
      </c>
      <c r="G869">
        <v>560</v>
      </c>
      <c r="H869" s="13">
        <v>106348.05</v>
      </c>
      <c r="I869" s="1">
        <v>43669</v>
      </c>
      <c r="J869">
        <v>7</v>
      </c>
      <c r="K869">
        <v>552</v>
      </c>
      <c r="L869">
        <v>50</v>
      </c>
      <c r="M869" t="s">
        <v>163</v>
      </c>
      <c r="N869" t="s">
        <v>154</v>
      </c>
    </row>
    <row r="870" spans="1:14" x14ac:dyDescent="0.25">
      <c r="A870" t="s">
        <v>72</v>
      </c>
      <c r="B870" t="s">
        <v>67</v>
      </c>
      <c r="C870" s="1">
        <v>43827</v>
      </c>
      <c r="D870" t="s">
        <v>133</v>
      </c>
      <c r="E870">
        <v>1</v>
      </c>
      <c r="F870" s="12">
        <v>190</v>
      </c>
      <c r="G870">
        <v>266</v>
      </c>
      <c r="H870" s="13">
        <v>50488.05</v>
      </c>
      <c r="I870" s="1">
        <v>44056</v>
      </c>
      <c r="J870">
        <v>8</v>
      </c>
      <c r="K870">
        <v>496</v>
      </c>
      <c r="L870">
        <v>52</v>
      </c>
      <c r="M870" t="s">
        <v>156</v>
      </c>
      <c r="N870" t="s">
        <v>153</v>
      </c>
    </row>
    <row r="871" spans="1:14" x14ac:dyDescent="0.25">
      <c r="A871" t="s">
        <v>61</v>
      </c>
      <c r="B871" t="s">
        <v>56</v>
      </c>
      <c r="C871" s="1">
        <v>42607</v>
      </c>
      <c r="D871" t="s">
        <v>133</v>
      </c>
      <c r="E871">
        <v>1</v>
      </c>
      <c r="F871" s="12">
        <v>190</v>
      </c>
      <c r="G871">
        <v>105</v>
      </c>
      <c r="H871" s="13">
        <v>19898.05</v>
      </c>
      <c r="I871" s="1">
        <v>42725</v>
      </c>
      <c r="J871">
        <v>12</v>
      </c>
      <c r="K871">
        <v>29</v>
      </c>
      <c r="L871">
        <v>58</v>
      </c>
      <c r="M871" t="s">
        <v>159</v>
      </c>
      <c r="N871" t="s">
        <v>154</v>
      </c>
    </row>
    <row r="872" spans="1:14" x14ac:dyDescent="0.25">
      <c r="A872" t="s">
        <v>80</v>
      </c>
      <c r="B872" t="s">
        <v>77</v>
      </c>
      <c r="C872" s="1">
        <v>43282</v>
      </c>
      <c r="D872" t="s">
        <v>133</v>
      </c>
      <c r="E872">
        <v>1</v>
      </c>
      <c r="F872" s="12">
        <v>190</v>
      </c>
      <c r="G872">
        <v>615</v>
      </c>
      <c r="H872" s="13">
        <v>116798.05</v>
      </c>
      <c r="I872" s="1">
        <v>44452</v>
      </c>
      <c r="J872">
        <v>9</v>
      </c>
      <c r="K872">
        <v>483</v>
      </c>
      <c r="L872">
        <v>57</v>
      </c>
      <c r="M872" t="s">
        <v>159</v>
      </c>
      <c r="N872" t="s">
        <v>154</v>
      </c>
    </row>
    <row r="873" spans="1:14" x14ac:dyDescent="0.25">
      <c r="A873" t="s">
        <v>95</v>
      </c>
      <c r="B873" t="s">
        <v>96</v>
      </c>
      <c r="C873" s="1">
        <v>43758</v>
      </c>
      <c r="D873" t="s">
        <v>133</v>
      </c>
      <c r="E873">
        <v>1</v>
      </c>
      <c r="F873" s="12">
        <v>190</v>
      </c>
      <c r="G873">
        <v>622</v>
      </c>
      <c r="H873" s="13">
        <v>118128.05</v>
      </c>
      <c r="I873" s="1">
        <v>44034</v>
      </c>
      <c r="J873">
        <v>7</v>
      </c>
      <c r="K873">
        <v>333</v>
      </c>
      <c r="L873">
        <v>58</v>
      </c>
      <c r="M873" t="s">
        <v>159</v>
      </c>
      <c r="N873" t="s">
        <v>153</v>
      </c>
    </row>
    <row r="874" spans="1:14" x14ac:dyDescent="0.25">
      <c r="A874" t="s">
        <v>61</v>
      </c>
      <c r="B874" t="s">
        <v>56</v>
      </c>
      <c r="C874" s="1">
        <v>42607</v>
      </c>
      <c r="D874" t="s">
        <v>133</v>
      </c>
      <c r="E874">
        <v>1</v>
      </c>
      <c r="F874" s="12">
        <v>190</v>
      </c>
      <c r="G874">
        <v>1212</v>
      </c>
      <c r="H874" s="13">
        <v>230228.05</v>
      </c>
      <c r="I874" s="1">
        <v>44257</v>
      </c>
      <c r="J874">
        <v>3</v>
      </c>
      <c r="K874">
        <v>267</v>
      </c>
      <c r="L874">
        <v>24</v>
      </c>
      <c r="M874" t="s">
        <v>160</v>
      </c>
      <c r="N874" t="s">
        <v>153</v>
      </c>
    </row>
    <row r="875" spans="1:14" x14ac:dyDescent="0.25">
      <c r="A875" t="s">
        <v>51</v>
      </c>
      <c r="B875" t="s">
        <v>49</v>
      </c>
      <c r="C875" s="1">
        <v>42394</v>
      </c>
      <c r="D875" t="s">
        <v>133</v>
      </c>
      <c r="E875">
        <v>1</v>
      </c>
      <c r="F875" s="12">
        <v>190</v>
      </c>
      <c r="G875">
        <v>135</v>
      </c>
      <c r="H875" s="13">
        <v>25598.05</v>
      </c>
      <c r="I875" s="1">
        <v>43413</v>
      </c>
      <c r="J875">
        <v>11</v>
      </c>
      <c r="K875">
        <v>450</v>
      </c>
      <c r="L875">
        <v>53</v>
      </c>
      <c r="M875" t="s">
        <v>156</v>
      </c>
      <c r="N875" t="s">
        <v>154</v>
      </c>
    </row>
    <row r="876" spans="1:14" x14ac:dyDescent="0.25">
      <c r="A876" t="s">
        <v>73</v>
      </c>
      <c r="B876" t="s">
        <v>68</v>
      </c>
      <c r="C876" s="1">
        <v>43097</v>
      </c>
      <c r="D876" t="s">
        <v>133</v>
      </c>
      <c r="E876">
        <v>1</v>
      </c>
      <c r="F876" s="12">
        <v>190</v>
      </c>
      <c r="G876">
        <v>317</v>
      </c>
      <c r="H876" s="13">
        <v>60178.05</v>
      </c>
      <c r="I876" s="1">
        <v>44080</v>
      </c>
      <c r="J876">
        <v>9</v>
      </c>
      <c r="K876">
        <v>564</v>
      </c>
      <c r="L876">
        <v>45</v>
      </c>
      <c r="M876" t="s">
        <v>162</v>
      </c>
      <c r="N876" t="s">
        <v>154</v>
      </c>
    </row>
    <row r="877" spans="1:14" x14ac:dyDescent="0.25">
      <c r="A877" t="s">
        <v>63</v>
      </c>
      <c r="B877" t="s">
        <v>58</v>
      </c>
      <c r="C877" s="1">
        <v>43155</v>
      </c>
      <c r="D877" t="s">
        <v>133</v>
      </c>
      <c r="E877">
        <v>1</v>
      </c>
      <c r="F877" s="12">
        <v>190</v>
      </c>
      <c r="G877">
        <v>613</v>
      </c>
      <c r="H877" s="13">
        <v>116418.05</v>
      </c>
      <c r="I877" s="1">
        <v>43335</v>
      </c>
      <c r="J877">
        <v>8</v>
      </c>
      <c r="K877">
        <v>26</v>
      </c>
      <c r="L877">
        <v>54</v>
      </c>
      <c r="M877" t="s">
        <v>156</v>
      </c>
      <c r="N877" t="s">
        <v>154</v>
      </c>
    </row>
    <row r="878" spans="1:14" x14ac:dyDescent="0.25">
      <c r="A878" t="s">
        <v>81</v>
      </c>
      <c r="B878" t="s">
        <v>78</v>
      </c>
      <c r="C878" s="1">
        <v>43932</v>
      </c>
      <c r="D878" t="s">
        <v>133</v>
      </c>
      <c r="E878">
        <v>1</v>
      </c>
      <c r="F878" s="12">
        <v>190</v>
      </c>
      <c r="G878">
        <v>1913</v>
      </c>
      <c r="H878" s="13">
        <v>363418.05</v>
      </c>
      <c r="I878" s="1">
        <v>44283</v>
      </c>
      <c r="J878">
        <v>3</v>
      </c>
      <c r="K878">
        <v>238</v>
      </c>
      <c r="L878">
        <v>30</v>
      </c>
      <c r="M878" t="s">
        <v>158</v>
      </c>
      <c r="N878" t="s">
        <v>154</v>
      </c>
    </row>
    <row r="879" spans="1:14" x14ac:dyDescent="0.25">
      <c r="A879" t="s">
        <v>91</v>
      </c>
      <c r="B879" t="s">
        <v>87</v>
      </c>
      <c r="C879" s="1">
        <v>43557</v>
      </c>
      <c r="D879" t="s">
        <v>133</v>
      </c>
      <c r="E879">
        <v>1</v>
      </c>
      <c r="F879" s="12">
        <v>190</v>
      </c>
      <c r="G879">
        <v>492</v>
      </c>
      <c r="H879" s="13">
        <v>93428.05</v>
      </c>
      <c r="I879" s="1">
        <v>44341</v>
      </c>
      <c r="J879">
        <v>5</v>
      </c>
      <c r="K879">
        <v>89</v>
      </c>
      <c r="L879">
        <v>44</v>
      </c>
      <c r="M879" t="s">
        <v>162</v>
      </c>
      <c r="N879" t="s">
        <v>153</v>
      </c>
    </row>
    <row r="880" spans="1:14" x14ac:dyDescent="0.25">
      <c r="A880" t="s">
        <v>117</v>
      </c>
      <c r="B880" t="s">
        <v>111</v>
      </c>
      <c r="C880" s="1">
        <v>42729</v>
      </c>
      <c r="D880" t="s">
        <v>133</v>
      </c>
      <c r="E880">
        <v>1</v>
      </c>
      <c r="F880" s="12">
        <v>190</v>
      </c>
      <c r="G880">
        <v>623</v>
      </c>
      <c r="H880" s="13">
        <v>118318.05</v>
      </c>
      <c r="I880" s="1">
        <v>43581</v>
      </c>
      <c r="J880">
        <v>4</v>
      </c>
      <c r="K880">
        <v>38</v>
      </c>
      <c r="L880">
        <v>53</v>
      </c>
      <c r="M880" t="s">
        <v>156</v>
      </c>
      <c r="N880" t="s">
        <v>154</v>
      </c>
    </row>
    <row r="881" spans="1:14" x14ac:dyDescent="0.25">
      <c r="A881" t="s">
        <v>118</v>
      </c>
      <c r="B881" t="s">
        <v>112</v>
      </c>
      <c r="C881" s="1">
        <v>43001</v>
      </c>
      <c r="D881" t="s">
        <v>133</v>
      </c>
      <c r="E881">
        <v>1</v>
      </c>
      <c r="F881" s="12">
        <v>190</v>
      </c>
      <c r="G881">
        <v>401</v>
      </c>
      <c r="H881" s="13">
        <v>76138.05</v>
      </c>
      <c r="I881" s="1">
        <v>43671</v>
      </c>
      <c r="J881">
        <v>7</v>
      </c>
      <c r="K881">
        <v>248</v>
      </c>
      <c r="L881">
        <v>22</v>
      </c>
      <c r="M881" t="s">
        <v>160</v>
      </c>
      <c r="N881" t="s">
        <v>153</v>
      </c>
    </row>
    <row r="882" spans="1:14" x14ac:dyDescent="0.25">
      <c r="A882" t="s">
        <v>89</v>
      </c>
      <c r="B882" t="s">
        <v>85</v>
      </c>
      <c r="C882" s="1">
        <v>43093</v>
      </c>
      <c r="D882" t="s">
        <v>133</v>
      </c>
      <c r="E882">
        <v>1</v>
      </c>
      <c r="F882" s="12">
        <v>190</v>
      </c>
      <c r="G882">
        <v>500</v>
      </c>
      <c r="H882" s="13">
        <v>94948.05</v>
      </c>
      <c r="I882" s="1">
        <v>43845</v>
      </c>
      <c r="J882">
        <v>1</v>
      </c>
      <c r="K882">
        <v>530</v>
      </c>
      <c r="L882">
        <v>24</v>
      </c>
      <c r="M882" t="s">
        <v>160</v>
      </c>
      <c r="N882" t="s">
        <v>153</v>
      </c>
    </row>
    <row r="883" spans="1:14" x14ac:dyDescent="0.25">
      <c r="A883" t="s">
        <v>43</v>
      </c>
      <c r="B883" t="s">
        <v>37</v>
      </c>
      <c r="C883" s="1">
        <v>43490</v>
      </c>
      <c r="D883" t="s">
        <v>133</v>
      </c>
      <c r="E883">
        <v>1</v>
      </c>
      <c r="F883" s="12">
        <v>190</v>
      </c>
      <c r="G883">
        <v>1170</v>
      </c>
      <c r="H883" s="13">
        <v>222248.05</v>
      </c>
      <c r="I883" s="1">
        <v>43501</v>
      </c>
      <c r="J883">
        <v>2</v>
      </c>
      <c r="K883">
        <v>385</v>
      </c>
      <c r="L883">
        <v>62</v>
      </c>
      <c r="M883" t="s">
        <v>157</v>
      </c>
      <c r="N883" t="s">
        <v>154</v>
      </c>
    </row>
    <row r="884" spans="1:14" x14ac:dyDescent="0.25">
      <c r="A884" t="s">
        <v>81</v>
      </c>
      <c r="B884" t="s">
        <v>78</v>
      </c>
      <c r="C884" s="1">
        <v>43932</v>
      </c>
      <c r="D884" t="s">
        <v>133</v>
      </c>
      <c r="E884">
        <v>1</v>
      </c>
      <c r="F884" s="12">
        <v>190</v>
      </c>
      <c r="G884">
        <v>613</v>
      </c>
      <c r="H884" s="13">
        <v>116418.05</v>
      </c>
      <c r="I884" s="1">
        <v>44398</v>
      </c>
      <c r="J884">
        <v>7</v>
      </c>
      <c r="K884">
        <v>6</v>
      </c>
      <c r="L884">
        <v>35</v>
      </c>
      <c r="M884" t="s">
        <v>164</v>
      </c>
      <c r="N884" t="s">
        <v>153</v>
      </c>
    </row>
    <row r="885" spans="1:14" x14ac:dyDescent="0.25">
      <c r="A885" t="s">
        <v>46</v>
      </c>
      <c r="B885" t="s">
        <v>39</v>
      </c>
      <c r="C885" s="1">
        <v>43490</v>
      </c>
      <c r="D885" t="s">
        <v>133</v>
      </c>
      <c r="E885">
        <v>1</v>
      </c>
      <c r="F885" s="12">
        <v>190</v>
      </c>
      <c r="G885">
        <v>157</v>
      </c>
      <c r="H885" s="13">
        <v>29778.05</v>
      </c>
      <c r="I885" s="1">
        <v>44153</v>
      </c>
      <c r="J885">
        <v>11</v>
      </c>
      <c r="K885">
        <v>582</v>
      </c>
      <c r="L885">
        <v>59</v>
      </c>
      <c r="M885" t="s">
        <v>159</v>
      </c>
      <c r="N885" t="s">
        <v>154</v>
      </c>
    </row>
    <row r="886" spans="1:14" x14ac:dyDescent="0.25">
      <c r="A886" t="s">
        <v>60</v>
      </c>
      <c r="B886" t="s">
        <v>55</v>
      </c>
      <c r="C886" s="1">
        <v>43555</v>
      </c>
      <c r="D886" t="s">
        <v>133</v>
      </c>
      <c r="E886">
        <v>1</v>
      </c>
      <c r="F886" s="12">
        <v>190</v>
      </c>
      <c r="G886">
        <v>355</v>
      </c>
      <c r="H886" s="13">
        <v>67398.05</v>
      </c>
      <c r="I886" s="1">
        <v>43743</v>
      </c>
      <c r="J886">
        <v>10</v>
      </c>
      <c r="K886">
        <v>391</v>
      </c>
      <c r="L886">
        <v>55</v>
      </c>
      <c r="M886" t="s">
        <v>156</v>
      </c>
      <c r="N886" t="s">
        <v>154</v>
      </c>
    </row>
    <row r="887" spans="1:14" x14ac:dyDescent="0.25">
      <c r="A887" t="s">
        <v>97</v>
      </c>
      <c r="B887" t="s">
        <v>98</v>
      </c>
      <c r="C887" s="1">
        <v>42388</v>
      </c>
      <c r="D887" t="s">
        <v>133</v>
      </c>
      <c r="E887">
        <v>1</v>
      </c>
      <c r="F887" s="12">
        <v>190</v>
      </c>
      <c r="G887">
        <v>828</v>
      </c>
      <c r="H887" s="13">
        <v>157268.04999999999</v>
      </c>
      <c r="I887" s="1">
        <v>43172</v>
      </c>
      <c r="J887">
        <v>3</v>
      </c>
      <c r="K887">
        <v>473</v>
      </c>
      <c r="L887">
        <v>65</v>
      </c>
      <c r="M887" t="s">
        <v>157</v>
      </c>
      <c r="N887" t="s">
        <v>153</v>
      </c>
    </row>
    <row r="888" spans="1:14" x14ac:dyDescent="0.25">
      <c r="A888" t="s">
        <v>91</v>
      </c>
      <c r="B888" t="s">
        <v>87</v>
      </c>
      <c r="C888" s="1">
        <v>43557</v>
      </c>
      <c r="D888" t="s">
        <v>133</v>
      </c>
      <c r="E888">
        <v>1</v>
      </c>
      <c r="F888" s="12">
        <v>190</v>
      </c>
      <c r="G888">
        <v>166</v>
      </c>
      <c r="H888" s="13">
        <v>31488.05</v>
      </c>
      <c r="I888" s="1">
        <v>43778</v>
      </c>
      <c r="J888">
        <v>11</v>
      </c>
      <c r="K888">
        <v>479</v>
      </c>
      <c r="L888">
        <v>51</v>
      </c>
      <c r="M888" t="s">
        <v>156</v>
      </c>
      <c r="N888" t="s">
        <v>154</v>
      </c>
    </row>
    <row r="889" spans="1:14" x14ac:dyDescent="0.25">
      <c r="A889" t="s">
        <v>46</v>
      </c>
      <c r="B889" t="s">
        <v>39</v>
      </c>
      <c r="C889" s="1">
        <v>43490</v>
      </c>
      <c r="D889" t="s">
        <v>133</v>
      </c>
      <c r="E889">
        <v>1</v>
      </c>
      <c r="F889" s="12">
        <v>190</v>
      </c>
      <c r="G889">
        <v>394</v>
      </c>
      <c r="H889" s="13">
        <v>74808.05</v>
      </c>
      <c r="I889" s="1">
        <v>44346</v>
      </c>
      <c r="J889">
        <v>5</v>
      </c>
      <c r="K889">
        <v>346</v>
      </c>
      <c r="L889">
        <v>51</v>
      </c>
      <c r="M889" t="s">
        <v>156</v>
      </c>
      <c r="N889" t="s">
        <v>154</v>
      </c>
    </row>
    <row r="890" spans="1:14" x14ac:dyDescent="0.25">
      <c r="A890" t="s">
        <v>70</v>
      </c>
      <c r="B890" t="s">
        <v>65</v>
      </c>
      <c r="C890" s="1">
        <v>43523</v>
      </c>
      <c r="D890" t="s">
        <v>133</v>
      </c>
      <c r="E890">
        <v>1</v>
      </c>
      <c r="F890" s="12">
        <v>190</v>
      </c>
      <c r="G890">
        <v>227</v>
      </c>
      <c r="H890" s="13">
        <v>43078.05</v>
      </c>
      <c r="I890" s="1">
        <v>43762</v>
      </c>
      <c r="J890">
        <v>10</v>
      </c>
      <c r="K890">
        <v>551</v>
      </c>
      <c r="L890">
        <v>52</v>
      </c>
      <c r="M890" t="s">
        <v>156</v>
      </c>
      <c r="N890" t="s">
        <v>153</v>
      </c>
    </row>
    <row r="891" spans="1:14" x14ac:dyDescent="0.25">
      <c r="A891" t="s">
        <v>63</v>
      </c>
      <c r="B891" t="s">
        <v>58</v>
      </c>
      <c r="C891" s="1">
        <v>43155</v>
      </c>
      <c r="D891" t="s">
        <v>133</v>
      </c>
      <c r="E891">
        <v>1</v>
      </c>
      <c r="F891" s="12">
        <v>190</v>
      </c>
      <c r="G891">
        <v>652</v>
      </c>
      <c r="H891" s="13">
        <v>123828.05</v>
      </c>
      <c r="I891" s="1">
        <v>43909</v>
      </c>
      <c r="J891">
        <v>3</v>
      </c>
      <c r="K891">
        <v>150</v>
      </c>
      <c r="L891">
        <v>54</v>
      </c>
      <c r="M891" t="s">
        <v>156</v>
      </c>
      <c r="N891" t="s">
        <v>154</v>
      </c>
    </row>
    <row r="892" spans="1:14" x14ac:dyDescent="0.25">
      <c r="A892" t="s">
        <v>42</v>
      </c>
      <c r="B892" t="s">
        <v>1</v>
      </c>
      <c r="C892" s="1">
        <v>43712</v>
      </c>
      <c r="D892" t="s">
        <v>133</v>
      </c>
      <c r="E892">
        <v>1</v>
      </c>
      <c r="F892" s="12">
        <v>190</v>
      </c>
      <c r="G892">
        <v>684</v>
      </c>
      <c r="H892" s="13">
        <v>129908.05</v>
      </c>
      <c r="I892" s="1">
        <v>44198</v>
      </c>
      <c r="J892">
        <v>1</v>
      </c>
      <c r="K892">
        <v>338</v>
      </c>
      <c r="L892">
        <v>37</v>
      </c>
      <c r="M892" t="s">
        <v>161</v>
      </c>
      <c r="N892" t="s">
        <v>153</v>
      </c>
    </row>
    <row r="893" spans="1:14" x14ac:dyDescent="0.25">
      <c r="A893" t="s">
        <v>43</v>
      </c>
      <c r="B893" t="s">
        <v>37</v>
      </c>
      <c r="C893" s="1">
        <v>43490</v>
      </c>
      <c r="D893" t="s">
        <v>133</v>
      </c>
      <c r="E893">
        <v>1</v>
      </c>
      <c r="F893" s="12">
        <v>190</v>
      </c>
      <c r="G893">
        <v>842</v>
      </c>
      <c r="H893" s="13">
        <v>159928.04999999999</v>
      </c>
      <c r="I893" s="1">
        <v>43582</v>
      </c>
      <c r="J893">
        <v>4</v>
      </c>
      <c r="K893">
        <v>580</v>
      </c>
      <c r="L893">
        <v>51</v>
      </c>
      <c r="M893" t="s">
        <v>156</v>
      </c>
      <c r="N893" t="s">
        <v>154</v>
      </c>
    </row>
    <row r="894" spans="1:14" x14ac:dyDescent="0.25">
      <c r="A894" t="s">
        <v>61</v>
      </c>
      <c r="B894" t="s">
        <v>56</v>
      </c>
      <c r="C894" s="1">
        <v>42607</v>
      </c>
      <c r="D894" t="s">
        <v>133</v>
      </c>
      <c r="E894">
        <v>1</v>
      </c>
      <c r="F894" s="12">
        <v>190</v>
      </c>
      <c r="G894">
        <v>1354</v>
      </c>
      <c r="H894" s="13">
        <v>257208.05</v>
      </c>
      <c r="I894" s="1">
        <v>43146</v>
      </c>
      <c r="J894">
        <v>2</v>
      </c>
      <c r="K894">
        <v>366</v>
      </c>
      <c r="L894">
        <v>53</v>
      </c>
      <c r="M894" t="s">
        <v>156</v>
      </c>
      <c r="N894" t="s">
        <v>154</v>
      </c>
    </row>
    <row r="895" spans="1:14" x14ac:dyDescent="0.25">
      <c r="A895" t="s">
        <v>63</v>
      </c>
      <c r="B895" t="s">
        <v>58</v>
      </c>
      <c r="C895" s="1">
        <v>43155</v>
      </c>
      <c r="D895" t="s">
        <v>133</v>
      </c>
      <c r="E895">
        <v>1</v>
      </c>
      <c r="F895" s="12">
        <v>190</v>
      </c>
      <c r="G895">
        <v>120</v>
      </c>
      <c r="H895" s="13">
        <v>22748.05</v>
      </c>
      <c r="I895" s="1">
        <v>44053</v>
      </c>
      <c r="J895">
        <v>8</v>
      </c>
      <c r="K895">
        <v>325</v>
      </c>
      <c r="L895">
        <v>29</v>
      </c>
      <c r="M895" t="s">
        <v>158</v>
      </c>
      <c r="N895" t="s">
        <v>153</v>
      </c>
    </row>
    <row r="896" spans="1:14" x14ac:dyDescent="0.25">
      <c r="A896" t="s">
        <v>115</v>
      </c>
      <c r="B896" t="s">
        <v>109</v>
      </c>
      <c r="C896" s="1">
        <v>43357</v>
      </c>
      <c r="D896" t="s">
        <v>133</v>
      </c>
      <c r="E896">
        <v>1</v>
      </c>
      <c r="F896" s="12">
        <v>190</v>
      </c>
      <c r="G896">
        <v>1761</v>
      </c>
      <c r="H896" s="13">
        <v>334538.05</v>
      </c>
      <c r="I896" s="1">
        <v>43873</v>
      </c>
      <c r="J896">
        <v>2</v>
      </c>
      <c r="K896">
        <v>308</v>
      </c>
      <c r="L896">
        <v>29</v>
      </c>
      <c r="M896" t="s">
        <v>158</v>
      </c>
      <c r="N896" t="s">
        <v>153</v>
      </c>
    </row>
    <row r="897" spans="1:14" x14ac:dyDescent="0.25">
      <c r="A897" t="s">
        <v>45</v>
      </c>
      <c r="B897" t="s">
        <v>38</v>
      </c>
      <c r="C897" s="1">
        <v>43534</v>
      </c>
      <c r="D897" t="s">
        <v>133</v>
      </c>
      <c r="E897">
        <v>1</v>
      </c>
      <c r="F897" s="12">
        <v>190</v>
      </c>
      <c r="G897">
        <v>1521</v>
      </c>
      <c r="H897" s="13">
        <v>288938.05</v>
      </c>
      <c r="I897" s="1">
        <v>43936</v>
      </c>
      <c r="J897">
        <v>4</v>
      </c>
      <c r="K897">
        <v>228</v>
      </c>
      <c r="L897">
        <v>37</v>
      </c>
      <c r="M897" t="s">
        <v>161</v>
      </c>
      <c r="N897" t="s">
        <v>153</v>
      </c>
    </row>
    <row r="898" spans="1:14" x14ac:dyDescent="0.25">
      <c r="A898" t="s">
        <v>64</v>
      </c>
      <c r="B898" t="s">
        <v>59</v>
      </c>
      <c r="C898" s="1">
        <v>43153</v>
      </c>
      <c r="D898" t="s">
        <v>133</v>
      </c>
      <c r="E898">
        <v>1</v>
      </c>
      <c r="F898" s="12">
        <v>190</v>
      </c>
      <c r="G898">
        <v>127</v>
      </c>
      <c r="H898" s="13">
        <v>24078.05</v>
      </c>
      <c r="I898" s="1">
        <v>43999</v>
      </c>
      <c r="J898">
        <v>6</v>
      </c>
      <c r="K898">
        <v>170</v>
      </c>
      <c r="L898">
        <v>57</v>
      </c>
      <c r="M898" t="s">
        <v>159</v>
      </c>
      <c r="N898" t="s">
        <v>154</v>
      </c>
    </row>
    <row r="899" spans="1:14" x14ac:dyDescent="0.25">
      <c r="A899" t="s">
        <v>97</v>
      </c>
      <c r="B899" t="s">
        <v>98</v>
      </c>
      <c r="C899" s="1">
        <v>42388</v>
      </c>
      <c r="D899" t="s">
        <v>133</v>
      </c>
      <c r="E899">
        <v>1</v>
      </c>
      <c r="F899" s="12">
        <v>190</v>
      </c>
      <c r="G899">
        <v>844</v>
      </c>
      <c r="H899" s="13">
        <v>160308.04999999999</v>
      </c>
      <c r="I899" s="1">
        <v>42468</v>
      </c>
      <c r="J899">
        <v>4</v>
      </c>
      <c r="K899">
        <v>220</v>
      </c>
      <c r="L899">
        <v>25</v>
      </c>
      <c r="M899" t="s">
        <v>160</v>
      </c>
      <c r="N899" t="s">
        <v>153</v>
      </c>
    </row>
    <row r="900" spans="1:14" x14ac:dyDescent="0.25">
      <c r="A900" t="s">
        <v>71</v>
      </c>
      <c r="B900" t="s">
        <v>66</v>
      </c>
      <c r="C900" s="1">
        <v>43621</v>
      </c>
      <c r="D900" t="s">
        <v>133</v>
      </c>
      <c r="E900">
        <v>1</v>
      </c>
      <c r="F900" s="12">
        <v>190</v>
      </c>
      <c r="G900">
        <v>600</v>
      </c>
      <c r="H900" s="13">
        <v>113954.88</v>
      </c>
      <c r="I900" s="1">
        <v>44401</v>
      </c>
      <c r="J900">
        <v>7</v>
      </c>
      <c r="K900">
        <v>123</v>
      </c>
      <c r="L900">
        <v>20</v>
      </c>
      <c r="M900" t="s">
        <v>160</v>
      </c>
      <c r="N900" t="s">
        <v>153</v>
      </c>
    </row>
    <row r="901" spans="1:14" x14ac:dyDescent="0.25">
      <c r="A901" t="s">
        <v>31</v>
      </c>
      <c r="B901" t="s">
        <v>27</v>
      </c>
      <c r="C901" s="1">
        <v>42433</v>
      </c>
      <c r="D901" t="s">
        <v>132</v>
      </c>
      <c r="E901">
        <v>3</v>
      </c>
      <c r="F901" s="12">
        <v>109</v>
      </c>
      <c r="G901">
        <v>248</v>
      </c>
      <c r="H901" s="13">
        <v>26986.880000000001</v>
      </c>
      <c r="I901" s="1">
        <v>43009</v>
      </c>
      <c r="J901">
        <v>10</v>
      </c>
      <c r="K901">
        <v>379</v>
      </c>
      <c r="L901">
        <v>30</v>
      </c>
      <c r="M901" t="s">
        <v>158</v>
      </c>
      <c r="N901" t="s">
        <v>154</v>
      </c>
    </row>
    <row r="902" spans="1:14" x14ac:dyDescent="0.25">
      <c r="A902" t="s">
        <v>62</v>
      </c>
      <c r="B902" t="s">
        <v>57</v>
      </c>
      <c r="C902" s="1">
        <v>43724</v>
      </c>
      <c r="D902" t="s">
        <v>132</v>
      </c>
      <c r="E902">
        <v>3</v>
      </c>
      <c r="F902" s="12">
        <v>109</v>
      </c>
      <c r="G902">
        <v>284</v>
      </c>
      <c r="H902" s="13">
        <v>30910.880000000001</v>
      </c>
      <c r="I902" s="1">
        <v>43777</v>
      </c>
      <c r="J902">
        <v>11</v>
      </c>
      <c r="K902">
        <v>328</v>
      </c>
      <c r="L902">
        <v>63</v>
      </c>
      <c r="M902" t="s">
        <v>157</v>
      </c>
      <c r="N902" t="s">
        <v>154</v>
      </c>
    </row>
    <row r="903" spans="1:14" x14ac:dyDescent="0.25">
      <c r="A903" t="s">
        <v>118</v>
      </c>
      <c r="B903" t="s">
        <v>112</v>
      </c>
      <c r="C903" s="1">
        <v>43001</v>
      </c>
      <c r="D903" t="s">
        <v>132</v>
      </c>
      <c r="E903">
        <v>3</v>
      </c>
      <c r="F903" s="12">
        <v>109</v>
      </c>
      <c r="G903">
        <v>167</v>
      </c>
      <c r="H903" s="13">
        <v>18157.88</v>
      </c>
      <c r="I903" s="1">
        <v>43796</v>
      </c>
      <c r="J903">
        <v>11</v>
      </c>
      <c r="K903">
        <v>485</v>
      </c>
      <c r="L903">
        <v>50</v>
      </c>
      <c r="M903" t="s">
        <v>163</v>
      </c>
      <c r="N903" t="s">
        <v>154</v>
      </c>
    </row>
    <row r="904" spans="1:14" x14ac:dyDescent="0.25">
      <c r="A904" t="s">
        <v>33</v>
      </c>
      <c r="B904" t="s">
        <v>29</v>
      </c>
      <c r="C904" s="1">
        <v>42795</v>
      </c>
      <c r="D904" t="s">
        <v>132</v>
      </c>
      <c r="E904">
        <v>3</v>
      </c>
      <c r="F904" s="12">
        <v>109</v>
      </c>
      <c r="G904">
        <v>437</v>
      </c>
      <c r="H904" s="13">
        <v>47587.88</v>
      </c>
      <c r="I904" s="1">
        <v>42895</v>
      </c>
      <c r="J904">
        <v>6</v>
      </c>
      <c r="K904">
        <v>214</v>
      </c>
      <c r="L904">
        <v>53</v>
      </c>
      <c r="M904" t="s">
        <v>156</v>
      </c>
      <c r="N904" t="s">
        <v>154</v>
      </c>
    </row>
    <row r="905" spans="1:14" x14ac:dyDescent="0.25">
      <c r="A905" t="s">
        <v>92</v>
      </c>
      <c r="B905" t="s">
        <v>88</v>
      </c>
      <c r="C905" s="1">
        <v>42660</v>
      </c>
      <c r="D905" t="s">
        <v>132</v>
      </c>
      <c r="E905">
        <v>3</v>
      </c>
      <c r="F905" s="12">
        <v>109</v>
      </c>
      <c r="G905">
        <v>184</v>
      </c>
      <c r="H905" s="13">
        <v>20010.88</v>
      </c>
      <c r="I905" s="1">
        <v>43222</v>
      </c>
      <c r="J905">
        <v>5</v>
      </c>
      <c r="K905">
        <v>168</v>
      </c>
      <c r="L905">
        <v>38</v>
      </c>
      <c r="M905" t="s">
        <v>161</v>
      </c>
      <c r="N905" t="s">
        <v>153</v>
      </c>
    </row>
    <row r="906" spans="1:14" x14ac:dyDescent="0.25">
      <c r="A906" t="s">
        <v>116</v>
      </c>
      <c r="B906" t="s">
        <v>110</v>
      </c>
      <c r="C906" s="1">
        <v>42277</v>
      </c>
      <c r="D906" t="s">
        <v>132</v>
      </c>
      <c r="E906">
        <v>3</v>
      </c>
      <c r="F906" s="12">
        <v>109</v>
      </c>
      <c r="G906">
        <v>369</v>
      </c>
      <c r="H906" s="13">
        <v>40175.879999999997</v>
      </c>
      <c r="I906" s="1">
        <v>43858</v>
      </c>
      <c r="J906">
        <v>1</v>
      </c>
      <c r="K906">
        <v>453</v>
      </c>
      <c r="L906">
        <v>55</v>
      </c>
      <c r="M906" t="s">
        <v>156</v>
      </c>
      <c r="N906" t="s">
        <v>153</v>
      </c>
    </row>
    <row r="907" spans="1:14" x14ac:dyDescent="0.25">
      <c r="A907" t="s">
        <v>117</v>
      </c>
      <c r="B907" t="s">
        <v>111</v>
      </c>
      <c r="C907" s="1">
        <v>42729</v>
      </c>
      <c r="D907" t="s">
        <v>132</v>
      </c>
      <c r="E907">
        <v>3</v>
      </c>
      <c r="F907" s="12">
        <v>109</v>
      </c>
      <c r="G907">
        <v>320</v>
      </c>
      <c r="H907" s="13">
        <v>34834.879999999997</v>
      </c>
      <c r="I907" s="1">
        <v>44109</v>
      </c>
      <c r="J907">
        <v>10</v>
      </c>
      <c r="K907">
        <v>380</v>
      </c>
      <c r="L907">
        <v>49</v>
      </c>
      <c r="M907" t="s">
        <v>163</v>
      </c>
      <c r="N907" t="s">
        <v>153</v>
      </c>
    </row>
    <row r="908" spans="1:14" x14ac:dyDescent="0.25">
      <c r="A908" t="s">
        <v>103</v>
      </c>
      <c r="B908" t="s">
        <v>100</v>
      </c>
      <c r="C908" s="1">
        <v>42080</v>
      </c>
      <c r="D908" t="s">
        <v>132</v>
      </c>
      <c r="E908">
        <v>3</v>
      </c>
      <c r="F908" s="12">
        <v>109</v>
      </c>
      <c r="G908">
        <v>654</v>
      </c>
      <c r="H908" s="13">
        <v>71240.88</v>
      </c>
      <c r="I908" s="1">
        <v>42719</v>
      </c>
      <c r="J908">
        <v>12</v>
      </c>
      <c r="K908">
        <v>17</v>
      </c>
      <c r="L908">
        <v>28</v>
      </c>
      <c r="M908" t="s">
        <v>158</v>
      </c>
      <c r="N908" t="s">
        <v>153</v>
      </c>
    </row>
    <row r="909" spans="1:14" x14ac:dyDescent="0.25">
      <c r="A909" t="s">
        <v>97</v>
      </c>
      <c r="B909" t="s">
        <v>98</v>
      </c>
      <c r="C909" s="1">
        <v>42388</v>
      </c>
      <c r="D909" t="s">
        <v>132</v>
      </c>
      <c r="E909">
        <v>3</v>
      </c>
      <c r="F909" s="12">
        <v>109</v>
      </c>
      <c r="G909">
        <v>374</v>
      </c>
      <c r="H909" s="13">
        <v>40720.879999999997</v>
      </c>
      <c r="I909" s="1">
        <v>44438</v>
      </c>
      <c r="J909">
        <v>8</v>
      </c>
      <c r="K909">
        <v>23</v>
      </c>
      <c r="L909">
        <v>48</v>
      </c>
      <c r="M909" t="s">
        <v>163</v>
      </c>
      <c r="N909" t="s">
        <v>154</v>
      </c>
    </row>
    <row r="910" spans="1:14" x14ac:dyDescent="0.25">
      <c r="A910" t="s">
        <v>41</v>
      </c>
      <c r="B910" t="s">
        <v>36</v>
      </c>
      <c r="C910" s="1">
        <v>42880</v>
      </c>
      <c r="D910" t="s">
        <v>132</v>
      </c>
      <c r="E910">
        <v>3</v>
      </c>
      <c r="F910" s="12">
        <v>109</v>
      </c>
      <c r="G910">
        <v>438</v>
      </c>
      <c r="H910" s="13">
        <v>47696.88</v>
      </c>
      <c r="I910" s="1">
        <v>43641</v>
      </c>
      <c r="J910">
        <v>6</v>
      </c>
      <c r="K910">
        <v>410</v>
      </c>
      <c r="L910">
        <v>40</v>
      </c>
      <c r="M910" t="s">
        <v>161</v>
      </c>
      <c r="N910" t="s">
        <v>153</v>
      </c>
    </row>
    <row r="911" spans="1:14" x14ac:dyDescent="0.25">
      <c r="A911" t="s">
        <v>73</v>
      </c>
      <c r="B911" t="s">
        <v>68</v>
      </c>
      <c r="C911" s="1">
        <v>43097</v>
      </c>
      <c r="D911" t="s">
        <v>132</v>
      </c>
      <c r="E911">
        <v>3</v>
      </c>
      <c r="F911" s="12">
        <v>109</v>
      </c>
      <c r="G911">
        <v>1344</v>
      </c>
      <c r="H911" s="13">
        <v>146450.88</v>
      </c>
      <c r="I911" s="1">
        <v>43909</v>
      </c>
      <c r="J911">
        <v>3</v>
      </c>
      <c r="K911">
        <v>437</v>
      </c>
      <c r="L911">
        <v>50</v>
      </c>
      <c r="M911" t="s">
        <v>163</v>
      </c>
      <c r="N911" t="s">
        <v>154</v>
      </c>
    </row>
    <row r="912" spans="1:14" x14ac:dyDescent="0.25">
      <c r="A912" t="s">
        <v>113</v>
      </c>
      <c r="B912" t="s">
        <v>107</v>
      </c>
      <c r="C912" s="1">
        <v>43912</v>
      </c>
      <c r="D912" t="s">
        <v>132</v>
      </c>
      <c r="E912">
        <v>3</v>
      </c>
      <c r="F912" s="12">
        <v>109</v>
      </c>
      <c r="G912">
        <v>730</v>
      </c>
      <c r="H912" s="13">
        <v>79524.88</v>
      </c>
      <c r="I912" s="1">
        <v>44411</v>
      </c>
      <c r="J912">
        <v>8</v>
      </c>
      <c r="K912">
        <v>507</v>
      </c>
      <c r="L912">
        <v>26</v>
      </c>
      <c r="M912" t="s">
        <v>158</v>
      </c>
      <c r="N912" t="s">
        <v>154</v>
      </c>
    </row>
    <row r="913" spans="1:14" x14ac:dyDescent="0.25">
      <c r="A913" t="s">
        <v>64</v>
      </c>
      <c r="B913" t="s">
        <v>59</v>
      </c>
      <c r="C913" s="1">
        <v>43153</v>
      </c>
      <c r="D913" t="s">
        <v>132</v>
      </c>
      <c r="E913">
        <v>3</v>
      </c>
      <c r="F913" s="12">
        <v>109</v>
      </c>
      <c r="G913">
        <v>452</v>
      </c>
      <c r="H913" s="13">
        <v>49222.879999999997</v>
      </c>
      <c r="I913" s="1">
        <v>43757</v>
      </c>
      <c r="J913">
        <v>10</v>
      </c>
      <c r="K913">
        <v>132</v>
      </c>
      <c r="L913">
        <v>58</v>
      </c>
      <c r="M913" t="s">
        <v>159</v>
      </c>
      <c r="N913" t="s">
        <v>154</v>
      </c>
    </row>
    <row r="914" spans="1:14" x14ac:dyDescent="0.25">
      <c r="A914" t="s">
        <v>91</v>
      </c>
      <c r="B914" t="s">
        <v>87</v>
      </c>
      <c r="C914" s="1">
        <v>43557</v>
      </c>
      <c r="D914" t="s">
        <v>132</v>
      </c>
      <c r="E914">
        <v>3</v>
      </c>
      <c r="F914" s="12">
        <v>109</v>
      </c>
      <c r="G914">
        <v>544</v>
      </c>
      <c r="H914" s="13">
        <v>59250.879999999997</v>
      </c>
      <c r="I914" s="1">
        <v>44349</v>
      </c>
      <c r="J914">
        <v>6</v>
      </c>
      <c r="K914">
        <v>4</v>
      </c>
      <c r="L914">
        <v>50</v>
      </c>
      <c r="M914" t="s">
        <v>163</v>
      </c>
      <c r="N914" t="s">
        <v>154</v>
      </c>
    </row>
    <row r="915" spans="1:14" x14ac:dyDescent="0.25">
      <c r="A915" t="s">
        <v>81</v>
      </c>
      <c r="B915" t="s">
        <v>78</v>
      </c>
      <c r="C915" s="1">
        <v>43932</v>
      </c>
      <c r="D915" t="s">
        <v>132</v>
      </c>
      <c r="E915">
        <v>3</v>
      </c>
      <c r="F915" s="12">
        <v>109</v>
      </c>
      <c r="G915">
        <v>620</v>
      </c>
      <c r="H915" s="13">
        <v>67534.880000000005</v>
      </c>
      <c r="I915" s="1">
        <v>43985</v>
      </c>
      <c r="J915">
        <v>6</v>
      </c>
      <c r="K915">
        <v>480</v>
      </c>
      <c r="L915">
        <v>39</v>
      </c>
      <c r="M915" t="s">
        <v>161</v>
      </c>
      <c r="N915" t="s">
        <v>153</v>
      </c>
    </row>
    <row r="916" spans="1:14" x14ac:dyDescent="0.25">
      <c r="A916" t="s">
        <v>82</v>
      </c>
      <c r="B916" t="s">
        <v>79</v>
      </c>
      <c r="C916" s="1">
        <v>43278</v>
      </c>
      <c r="D916" t="s">
        <v>132</v>
      </c>
      <c r="E916">
        <v>3</v>
      </c>
      <c r="F916" s="12">
        <v>109</v>
      </c>
      <c r="G916">
        <v>713</v>
      </c>
      <c r="H916" s="13">
        <v>77671.88</v>
      </c>
      <c r="I916" s="1">
        <v>43977</v>
      </c>
      <c r="J916">
        <v>5</v>
      </c>
      <c r="K916">
        <v>306</v>
      </c>
      <c r="L916">
        <v>55</v>
      </c>
      <c r="M916" t="s">
        <v>156</v>
      </c>
      <c r="N916" t="s">
        <v>154</v>
      </c>
    </row>
    <row r="917" spans="1:14" x14ac:dyDescent="0.25">
      <c r="A917" t="s">
        <v>44</v>
      </c>
      <c r="B917" t="s">
        <v>2</v>
      </c>
      <c r="C917" s="1">
        <v>42641</v>
      </c>
      <c r="D917" t="s">
        <v>132</v>
      </c>
      <c r="E917">
        <v>3</v>
      </c>
      <c r="F917" s="12">
        <v>109</v>
      </c>
      <c r="G917">
        <v>1870</v>
      </c>
      <c r="H917" s="13">
        <v>203784.88</v>
      </c>
      <c r="I917" s="1">
        <v>43155</v>
      </c>
      <c r="J917">
        <v>2</v>
      </c>
      <c r="K917">
        <v>547</v>
      </c>
      <c r="L917">
        <v>70</v>
      </c>
      <c r="M917" t="s">
        <v>165</v>
      </c>
      <c r="N917" t="s">
        <v>154</v>
      </c>
    </row>
    <row r="918" spans="1:14" x14ac:dyDescent="0.25">
      <c r="A918" t="s">
        <v>47</v>
      </c>
      <c r="B918" t="s">
        <v>48</v>
      </c>
      <c r="C918" s="1">
        <v>42542</v>
      </c>
      <c r="D918" t="s">
        <v>132</v>
      </c>
      <c r="E918">
        <v>3</v>
      </c>
      <c r="F918" s="12">
        <v>109</v>
      </c>
      <c r="G918">
        <v>526</v>
      </c>
      <c r="H918" s="13">
        <v>57288.88</v>
      </c>
      <c r="I918" s="1">
        <v>43291</v>
      </c>
      <c r="J918">
        <v>7</v>
      </c>
      <c r="K918">
        <v>382</v>
      </c>
      <c r="L918">
        <v>50</v>
      </c>
      <c r="M918" t="s">
        <v>163</v>
      </c>
      <c r="N918" t="s">
        <v>154</v>
      </c>
    </row>
    <row r="919" spans="1:14" x14ac:dyDescent="0.25">
      <c r="A919" t="s">
        <v>105</v>
      </c>
      <c r="B919" t="s">
        <v>106</v>
      </c>
      <c r="C919" s="1">
        <v>43451</v>
      </c>
      <c r="D919" t="s">
        <v>132</v>
      </c>
      <c r="E919">
        <v>3</v>
      </c>
      <c r="F919" s="12">
        <v>109</v>
      </c>
      <c r="G919">
        <v>274</v>
      </c>
      <c r="H919" s="13">
        <v>29820.880000000001</v>
      </c>
      <c r="I919" s="1">
        <v>44444</v>
      </c>
      <c r="J919">
        <v>9</v>
      </c>
      <c r="K919">
        <v>434</v>
      </c>
      <c r="L919">
        <v>54</v>
      </c>
      <c r="M919" t="s">
        <v>156</v>
      </c>
      <c r="N919" t="s">
        <v>154</v>
      </c>
    </row>
    <row r="920" spans="1:14" x14ac:dyDescent="0.25">
      <c r="A920" t="s">
        <v>72</v>
      </c>
      <c r="B920" t="s">
        <v>67</v>
      </c>
      <c r="C920" s="1">
        <v>43827</v>
      </c>
      <c r="D920" t="s">
        <v>132</v>
      </c>
      <c r="E920">
        <v>3</v>
      </c>
      <c r="F920" s="12">
        <v>109</v>
      </c>
      <c r="G920">
        <v>292</v>
      </c>
      <c r="H920" s="13">
        <v>31782.880000000001</v>
      </c>
      <c r="I920" s="1">
        <v>43984</v>
      </c>
      <c r="J920">
        <v>6</v>
      </c>
      <c r="K920">
        <v>480</v>
      </c>
      <c r="L920">
        <v>39</v>
      </c>
      <c r="M920" t="s">
        <v>161</v>
      </c>
      <c r="N920" t="s">
        <v>153</v>
      </c>
    </row>
    <row r="921" spans="1:14" x14ac:dyDescent="0.25">
      <c r="A921" t="s">
        <v>53</v>
      </c>
      <c r="B921" t="s">
        <v>54</v>
      </c>
      <c r="C921" s="1">
        <v>42816</v>
      </c>
      <c r="D921" t="s">
        <v>132</v>
      </c>
      <c r="E921">
        <v>3</v>
      </c>
      <c r="F921" s="12">
        <v>109</v>
      </c>
      <c r="G921">
        <v>1955</v>
      </c>
      <c r="H921" s="13">
        <v>213049.88</v>
      </c>
      <c r="I921" s="1">
        <v>44306</v>
      </c>
      <c r="J921">
        <v>4</v>
      </c>
      <c r="K921">
        <v>383</v>
      </c>
      <c r="L921">
        <v>55</v>
      </c>
      <c r="M921" t="s">
        <v>156</v>
      </c>
      <c r="N921" t="s">
        <v>154</v>
      </c>
    </row>
    <row r="922" spans="1:14" x14ac:dyDescent="0.25">
      <c r="A922" t="s">
        <v>97</v>
      </c>
      <c r="B922" t="s">
        <v>98</v>
      </c>
      <c r="C922" s="1">
        <v>42388</v>
      </c>
      <c r="D922" t="s">
        <v>132</v>
      </c>
      <c r="E922">
        <v>3</v>
      </c>
      <c r="F922" s="12">
        <v>109</v>
      </c>
      <c r="G922">
        <v>1539</v>
      </c>
      <c r="H922" s="13">
        <v>167705.88</v>
      </c>
      <c r="I922" s="1">
        <v>43197</v>
      </c>
      <c r="J922">
        <v>4</v>
      </c>
      <c r="K922">
        <v>52</v>
      </c>
      <c r="L922">
        <v>54</v>
      </c>
      <c r="M922" t="s">
        <v>156</v>
      </c>
      <c r="N922" t="s">
        <v>154</v>
      </c>
    </row>
    <row r="923" spans="1:14" x14ac:dyDescent="0.25">
      <c r="A923" t="s">
        <v>61</v>
      </c>
      <c r="B923" t="s">
        <v>56</v>
      </c>
      <c r="C923" s="1">
        <v>42607</v>
      </c>
      <c r="D923" t="s">
        <v>132</v>
      </c>
      <c r="E923">
        <v>3</v>
      </c>
      <c r="F923" s="12">
        <v>109</v>
      </c>
      <c r="G923">
        <v>370</v>
      </c>
      <c r="H923" s="13">
        <v>40284.879999999997</v>
      </c>
      <c r="I923" s="1">
        <v>43665</v>
      </c>
      <c r="J923">
        <v>7</v>
      </c>
      <c r="K923">
        <v>283</v>
      </c>
      <c r="L923">
        <v>34</v>
      </c>
      <c r="M923" t="s">
        <v>164</v>
      </c>
      <c r="N923" t="s">
        <v>154</v>
      </c>
    </row>
    <row r="924" spans="1:14" x14ac:dyDescent="0.25">
      <c r="A924" t="s">
        <v>31</v>
      </c>
      <c r="B924" t="s">
        <v>27</v>
      </c>
      <c r="C924" s="1">
        <v>42433</v>
      </c>
      <c r="D924" t="s">
        <v>132</v>
      </c>
      <c r="E924">
        <v>3</v>
      </c>
      <c r="F924" s="12">
        <v>109</v>
      </c>
      <c r="G924">
        <v>623</v>
      </c>
      <c r="H924" s="13">
        <v>67861.88</v>
      </c>
      <c r="I924" s="1">
        <v>43256</v>
      </c>
      <c r="J924">
        <v>6</v>
      </c>
      <c r="K924">
        <v>567</v>
      </c>
      <c r="L924">
        <v>58</v>
      </c>
      <c r="M924" t="s">
        <v>159</v>
      </c>
      <c r="N924" t="s">
        <v>154</v>
      </c>
    </row>
    <row r="925" spans="1:14" x14ac:dyDescent="0.25">
      <c r="A925" t="s">
        <v>70</v>
      </c>
      <c r="B925" t="s">
        <v>65</v>
      </c>
      <c r="C925" s="1">
        <v>43523</v>
      </c>
      <c r="D925" t="s">
        <v>132</v>
      </c>
      <c r="E925">
        <v>3</v>
      </c>
      <c r="F925" s="12">
        <v>109</v>
      </c>
      <c r="G925">
        <v>366</v>
      </c>
      <c r="H925" s="13">
        <v>39848.879999999997</v>
      </c>
      <c r="I925" s="1">
        <v>44347</v>
      </c>
      <c r="J925">
        <v>5</v>
      </c>
      <c r="K925">
        <v>382</v>
      </c>
      <c r="L925">
        <v>50</v>
      </c>
      <c r="M925" t="s">
        <v>163</v>
      </c>
      <c r="N925" t="s">
        <v>154</v>
      </c>
    </row>
    <row r="926" spans="1:14" x14ac:dyDescent="0.25">
      <c r="A926" t="s">
        <v>103</v>
      </c>
      <c r="B926" t="s">
        <v>100</v>
      </c>
      <c r="C926" s="1">
        <v>42080</v>
      </c>
      <c r="D926" t="s">
        <v>132</v>
      </c>
      <c r="E926">
        <v>3</v>
      </c>
      <c r="F926" s="12">
        <v>109</v>
      </c>
      <c r="G926">
        <v>532</v>
      </c>
      <c r="H926" s="13">
        <v>57942.879999999997</v>
      </c>
      <c r="I926" s="1">
        <v>43407</v>
      </c>
      <c r="J926">
        <v>11</v>
      </c>
      <c r="K926">
        <v>572</v>
      </c>
      <c r="L926">
        <v>49</v>
      </c>
      <c r="M926" t="s">
        <v>163</v>
      </c>
      <c r="N926" t="s">
        <v>154</v>
      </c>
    </row>
    <row r="927" spans="1:14" x14ac:dyDescent="0.25">
      <c r="A927" t="s">
        <v>70</v>
      </c>
      <c r="B927" t="s">
        <v>65</v>
      </c>
      <c r="C927" s="1">
        <v>43523</v>
      </c>
      <c r="D927" t="s">
        <v>132</v>
      </c>
      <c r="E927">
        <v>3</v>
      </c>
      <c r="F927" s="12">
        <v>109</v>
      </c>
      <c r="G927">
        <v>1916</v>
      </c>
      <c r="H927" s="13">
        <v>208798.88</v>
      </c>
      <c r="I927" s="1">
        <v>44305</v>
      </c>
      <c r="J927">
        <v>4</v>
      </c>
      <c r="K927">
        <v>576</v>
      </c>
      <c r="L927">
        <v>52</v>
      </c>
      <c r="M927" t="s">
        <v>156</v>
      </c>
      <c r="N927" t="s">
        <v>154</v>
      </c>
    </row>
    <row r="928" spans="1:14" x14ac:dyDescent="0.25">
      <c r="A928" t="s">
        <v>81</v>
      </c>
      <c r="B928" t="s">
        <v>78</v>
      </c>
      <c r="C928" s="1">
        <v>43932</v>
      </c>
      <c r="D928" t="s">
        <v>132</v>
      </c>
      <c r="E928">
        <v>3</v>
      </c>
      <c r="F928" s="12">
        <v>109</v>
      </c>
      <c r="G928">
        <v>443</v>
      </c>
      <c r="H928" s="13">
        <v>48241.88</v>
      </c>
      <c r="I928" s="1">
        <v>43955</v>
      </c>
      <c r="J928">
        <v>5</v>
      </c>
      <c r="K928">
        <v>36</v>
      </c>
      <c r="L928">
        <v>30</v>
      </c>
      <c r="M928" t="s">
        <v>158</v>
      </c>
      <c r="N928" t="s">
        <v>153</v>
      </c>
    </row>
    <row r="929" spans="1:14" x14ac:dyDescent="0.25">
      <c r="A929" t="s">
        <v>74</v>
      </c>
      <c r="B929" t="s">
        <v>69</v>
      </c>
      <c r="C929" s="1">
        <v>42228</v>
      </c>
      <c r="D929" t="s">
        <v>132</v>
      </c>
      <c r="E929">
        <v>3</v>
      </c>
      <c r="F929" s="12">
        <v>109</v>
      </c>
      <c r="G929">
        <v>746</v>
      </c>
      <c r="H929" s="13">
        <v>81268.88</v>
      </c>
      <c r="I929" s="1">
        <v>43015</v>
      </c>
      <c r="J929">
        <v>10</v>
      </c>
      <c r="K929">
        <v>195</v>
      </c>
      <c r="L929">
        <v>31</v>
      </c>
      <c r="M929" t="s">
        <v>164</v>
      </c>
      <c r="N929" t="s">
        <v>153</v>
      </c>
    </row>
    <row r="930" spans="1:14" x14ac:dyDescent="0.25">
      <c r="A930" t="s">
        <v>72</v>
      </c>
      <c r="B930" t="s">
        <v>67</v>
      </c>
      <c r="C930" s="1">
        <v>43827</v>
      </c>
      <c r="D930" t="s">
        <v>132</v>
      </c>
      <c r="E930">
        <v>3</v>
      </c>
      <c r="F930" s="12">
        <v>109</v>
      </c>
      <c r="G930">
        <v>626</v>
      </c>
      <c r="H930" s="13">
        <v>68188.88</v>
      </c>
      <c r="I930" s="1">
        <v>43830</v>
      </c>
      <c r="J930">
        <v>12</v>
      </c>
      <c r="K930">
        <v>158</v>
      </c>
      <c r="L930">
        <v>50</v>
      </c>
      <c r="M930" t="s">
        <v>163</v>
      </c>
      <c r="N930" t="s">
        <v>154</v>
      </c>
    </row>
    <row r="931" spans="1:14" x14ac:dyDescent="0.25">
      <c r="A931" t="s">
        <v>31</v>
      </c>
      <c r="B931" t="s">
        <v>27</v>
      </c>
      <c r="C931" s="1">
        <v>42433</v>
      </c>
      <c r="D931" t="s">
        <v>132</v>
      </c>
      <c r="E931">
        <v>3</v>
      </c>
      <c r="F931" s="12">
        <v>109</v>
      </c>
      <c r="G931">
        <v>242</v>
      </c>
      <c r="H931" s="13">
        <v>26332.880000000001</v>
      </c>
      <c r="I931" s="1">
        <v>43749</v>
      </c>
      <c r="J931">
        <v>10</v>
      </c>
      <c r="K931">
        <v>234</v>
      </c>
      <c r="L931">
        <v>53</v>
      </c>
      <c r="M931" t="s">
        <v>156</v>
      </c>
      <c r="N931" t="s">
        <v>153</v>
      </c>
    </row>
    <row r="932" spans="1:14" x14ac:dyDescent="0.25">
      <c r="A932" t="s">
        <v>102</v>
      </c>
      <c r="B932" t="s">
        <v>99</v>
      </c>
      <c r="C932" s="1">
        <v>43488</v>
      </c>
      <c r="D932" t="s">
        <v>132</v>
      </c>
      <c r="E932">
        <v>3</v>
      </c>
      <c r="F932" s="12">
        <v>109</v>
      </c>
      <c r="G932">
        <v>446</v>
      </c>
      <c r="H932" s="13">
        <v>48568.88</v>
      </c>
      <c r="I932" s="1">
        <v>44136</v>
      </c>
      <c r="J932">
        <v>11</v>
      </c>
      <c r="K932">
        <v>32</v>
      </c>
      <c r="L932">
        <v>59</v>
      </c>
      <c r="M932" t="s">
        <v>159</v>
      </c>
      <c r="N932" t="s">
        <v>154</v>
      </c>
    </row>
    <row r="933" spans="1:14" x14ac:dyDescent="0.25">
      <c r="A933" t="s">
        <v>81</v>
      </c>
      <c r="B933" t="s">
        <v>78</v>
      </c>
      <c r="C933" s="1">
        <v>43932</v>
      </c>
      <c r="D933" t="s">
        <v>132</v>
      </c>
      <c r="E933">
        <v>3</v>
      </c>
      <c r="F933" s="12">
        <v>109</v>
      </c>
      <c r="G933">
        <v>766</v>
      </c>
      <c r="H933" s="13">
        <v>83448.88</v>
      </c>
      <c r="I933" s="1">
        <v>44211</v>
      </c>
      <c r="J933">
        <v>1</v>
      </c>
      <c r="K933">
        <v>174</v>
      </c>
      <c r="L933">
        <v>40</v>
      </c>
      <c r="M933" t="s">
        <v>161</v>
      </c>
      <c r="N933" t="s">
        <v>153</v>
      </c>
    </row>
    <row r="934" spans="1:14" x14ac:dyDescent="0.25">
      <c r="A934" t="s">
        <v>40</v>
      </c>
      <c r="B934" t="s">
        <v>0</v>
      </c>
      <c r="C934" s="1">
        <v>43287</v>
      </c>
      <c r="D934" t="s">
        <v>132</v>
      </c>
      <c r="E934">
        <v>3</v>
      </c>
      <c r="F934" s="12">
        <v>109</v>
      </c>
      <c r="G934">
        <v>455</v>
      </c>
      <c r="H934" s="13">
        <v>49549.88</v>
      </c>
      <c r="I934" s="1">
        <v>43391</v>
      </c>
      <c r="J934">
        <v>10</v>
      </c>
      <c r="K934">
        <v>159</v>
      </c>
      <c r="L934">
        <v>70</v>
      </c>
      <c r="M934" t="s">
        <v>165</v>
      </c>
      <c r="N934" t="s">
        <v>154</v>
      </c>
    </row>
    <row r="935" spans="1:14" x14ac:dyDescent="0.25">
      <c r="A935" t="s">
        <v>52</v>
      </c>
      <c r="B935" t="s">
        <v>50</v>
      </c>
      <c r="C935" s="1">
        <v>43917</v>
      </c>
      <c r="D935" t="s">
        <v>132</v>
      </c>
      <c r="E935">
        <v>3</v>
      </c>
      <c r="F935" s="12">
        <v>109</v>
      </c>
      <c r="G935">
        <v>175</v>
      </c>
      <c r="H935" s="13">
        <v>19029.88</v>
      </c>
      <c r="I935" s="1">
        <v>44083</v>
      </c>
      <c r="J935">
        <v>9</v>
      </c>
      <c r="K935">
        <v>38</v>
      </c>
      <c r="L935">
        <v>53</v>
      </c>
      <c r="M935" t="s">
        <v>156</v>
      </c>
      <c r="N935" t="s">
        <v>154</v>
      </c>
    </row>
    <row r="936" spans="1:14" x14ac:dyDescent="0.25">
      <c r="A936" t="s">
        <v>113</v>
      </c>
      <c r="B936" t="s">
        <v>107</v>
      </c>
      <c r="C936" s="1">
        <v>43912</v>
      </c>
      <c r="D936" t="s">
        <v>132</v>
      </c>
      <c r="E936">
        <v>3</v>
      </c>
      <c r="F936" s="12">
        <v>109</v>
      </c>
      <c r="G936">
        <v>681</v>
      </c>
      <c r="H936" s="13">
        <v>74183.88</v>
      </c>
      <c r="I936" s="1">
        <v>44206</v>
      </c>
      <c r="J936">
        <v>1</v>
      </c>
      <c r="K936">
        <v>417</v>
      </c>
      <c r="L936">
        <v>45</v>
      </c>
      <c r="M936" t="s">
        <v>162</v>
      </c>
      <c r="N936" t="s">
        <v>154</v>
      </c>
    </row>
    <row r="937" spans="1:14" x14ac:dyDescent="0.25">
      <c r="A937" t="s">
        <v>61</v>
      </c>
      <c r="B937" t="s">
        <v>56</v>
      </c>
      <c r="C937" s="1">
        <v>42607</v>
      </c>
      <c r="D937" t="s">
        <v>132</v>
      </c>
      <c r="E937">
        <v>3</v>
      </c>
      <c r="F937" s="12">
        <v>109</v>
      </c>
      <c r="G937">
        <v>643</v>
      </c>
      <c r="H937" s="13">
        <v>70041.88</v>
      </c>
      <c r="I937" s="1">
        <v>43734</v>
      </c>
      <c r="J937">
        <v>9</v>
      </c>
      <c r="K937">
        <v>558</v>
      </c>
      <c r="L937">
        <v>53</v>
      </c>
      <c r="M937" t="s">
        <v>156</v>
      </c>
      <c r="N937" t="s">
        <v>153</v>
      </c>
    </row>
    <row r="938" spans="1:14" x14ac:dyDescent="0.25">
      <c r="A938" t="s">
        <v>33</v>
      </c>
      <c r="B938" t="s">
        <v>29</v>
      </c>
      <c r="C938" s="1">
        <v>42795</v>
      </c>
      <c r="D938" t="s">
        <v>132</v>
      </c>
      <c r="E938">
        <v>3</v>
      </c>
      <c r="F938" s="12">
        <v>109</v>
      </c>
      <c r="G938">
        <v>404</v>
      </c>
      <c r="H938" s="13">
        <v>43990.879999999997</v>
      </c>
      <c r="I938" s="1">
        <v>43851</v>
      </c>
      <c r="J938">
        <v>1</v>
      </c>
      <c r="K938">
        <v>238</v>
      </c>
      <c r="L938">
        <v>30</v>
      </c>
      <c r="M938" t="s">
        <v>158</v>
      </c>
      <c r="N938" t="s">
        <v>154</v>
      </c>
    </row>
    <row r="939" spans="1:14" x14ac:dyDescent="0.25">
      <c r="A939" t="s">
        <v>74</v>
      </c>
      <c r="B939" t="s">
        <v>69</v>
      </c>
      <c r="C939" s="1">
        <v>42228</v>
      </c>
      <c r="D939" t="s">
        <v>132</v>
      </c>
      <c r="E939">
        <v>3</v>
      </c>
      <c r="F939" s="12">
        <v>109</v>
      </c>
      <c r="G939">
        <v>1735</v>
      </c>
      <c r="H939" s="13">
        <v>189069.88</v>
      </c>
      <c r="I939" s="1">
        <v>44297</v>
      </c>
      <c r="J939">
        <v>4</v>
      </c>
      <c r="K939">
        <v>129</v>
      </c>
      <c r="L939">
        <v>20</v>
      </c>
      <c r="M939" t="s">
        <v>160</v>
      </c>
      <c r="N939" t="s">
        <v>154</v>
      </c>
    </row>
    <row r="940" spans="1:14" x14ac:dyDescent="0.25">
      <c r="A940" t="s">
        <v>60</v>
      </c>
      <c r="B940" t="s">
        <v>55</v>
      </c>
      <c r="C940" s="1">
        <v>43555</v>
      </c>
      <c r="D940" t="s">
        <v>132</v>
      </c>
      <c r="E940">
        <v>3</v>
      </c>
      <c r="F940" s="12">
        <v>109</v>
      </c>
      <c r="G940">
        <v>366</v>
      </c>
      <c r="H940" s="13">
        <v>39848.879999999997</v>
      </c>
      <c r="I940" s="1">
        <v>43586</v>
      </c>
      <c r="J940">
        <v>5</v>
      </c>
      <c r="K940">
        <v>280</v>
      </c>
      <c r="L940">
        <v>60</v>
      </c>
      <c r="M940" t="s">
        <v>159</v>
      </c>
      <c r="N940" t="s">
        <v>153</v>
      </c>
    </row>
    <row r="941" spans="1:14" x14ac:dyDescent="0.25">
      <c r="A941" t="s">
        <v>89</v>
      </c>
      <c r="B941" t="s">
        <v>85</v>
      </c>
      <c r="C941" s="1">
        <v>43093</v>
      </c>
      <c r="D941" t="s">
        <v>132</v>
      </c>
      <c r="E941">
        <v>3</v>
      </c>
      <c r="F941" s="12">
        <v>109</v>
      </c>
      <c r="G941">
        <v>365</v>
      </c>
      <c r="H941" s="13">
        <v>39739.879999999997</v>
      </c>
      <c r="I941" s="1">
        <v>44077</v>
      </c>
      <c r="J941">
        <v>9</v>
      </c>
      <c r="K941">
        <v>301</v>
      </c>
      <c r="L941">
        <v>62</v>
      </c>
      <c r="M941" t="s">
        <v>157</v>
      </c>
      <c r="N941" t="s">
        <v>154</v>
      </c>
    </row>
    <row r="942" spans="1:14" x14ac:dyDescent="0.25">
      <c r="A942" t="s">
        <v>63</v>
      </c>
      <c r="B942" t="s">
        <v>58</v>
      </c>
      <c r="C942" s="1">
        <v>43155</v>
      </c>
      <c r="D942" t="s">
        <v>132</v>
      </c>
      <c r="E942">
        <v>3</v>
      </c>
      <c r="F942" s="12">
        <v>109</v>
      </c>
      <c r="G942">
        <v>533</v>
      </c>
      <c r="H942" s="13">
        <v>58051.88</v>
      </c>
      <c r="I942" s="1">
        <v>43301</v>
      </c>
      <c r="J942">
        <v>7</v>
      </c>
      <c r="K942">
        <v>237</v>
      </c>
      <c r="L942">
        <v>55</v>
      </c>
      <c r="M942" t="s">
        <v>156</v>
      </c>
      <c r="N942" t="s">
        <v>154</v>
      </c>
    </row>
    <row r="943" spans="1:14" x14ac:dyDescent="0.25">
      <c r="A943" t="s">
        <v>60</v>
      </c>
      <c r="B943" t="s">
        <v>55</v>
      </c>
      <c r="C943" s="1">
        <v>43555</v>
      </c>
      <c r="D943" t="s">
        <v>132</v>
      </c>
      <c r="E943">
        <v>3</v>
      </c>
      <c r="F943" s="12">
        <v>109</v>
      </c>
      <c r="G943">
        <v>591</v>
      </c>
      <c r="H943" s="13">
        <v>64373.88</v>
      </c>
      <c r="I943" s="1">
        <v>43755</v>
      </c>
      <c r="J943">
        <v>10</v>
      </c>
      <c r="K943">
        <v>561</v>
      </c>
      <c r="L943">
        <v>61</v>
      </c>
      <c r="M943" t="s">
        <v>157</v>
      </c>
      <c r="N943" t="s">
        <v>154</v>
      </c>
    </row>
    <row r="944" spans="1:14" x14ac:dyDescent="0.25">
      <c r="A944" t="s">
        <v>70</v>
      </c>
      <c r="B944" t="s">
        <v>65</v>
      </c>
      <c r="C944" s="1">
        <v>43523</v>
      </c>
      <c r="D944" t="s">
        <v>132</v>
      </c>
      <c r="E944">
        <v>3</v>
      </c>
      <c r="F944" s="12">
        <v>109</v>
      </c>
      <c r="G944">
        <v>299</v>
      </c>
      <c r="H944" s="13">
        <v>32545.88</v>
      </c>
      <c r="I944" s="1">
        <v>44181</v>
      </c>
      <c r="J944">
        <v>12</v>
      </c>
      <c r="K944">
        <v>427</v>
      </c>
      <c r="L944">
        <v>70</v>
      </c>
      <c r="M944" t="s">
        <v>165</v>
      </c>
      <c r="N944" t="s">
        <v>154</v>
      </c>
    </row>
    <row r="945" spans="1:14" x14ac:dyDescent="0.25">
      <c r="A945" t="s">
        <v>114</v>
      </c>
      <c r="B945" t="s">
        <v>108</v>
      </c>
      <c r="C945" s="1">
        <v>42808</v>
      </c>
      <c r="D945" t="s">
        <v>132</v>
      </c>
      <c r="E945">
        <v>3</v>
      </c>
      <c r="F945" s="12">
        <v>109</v>
      </c>
      <c r="G945">
        <v>1422</v>
      </c>
      <c r="H945" s="13">
        <v>154952.88</v>
      </c>
      <c r="I945" s="1">
        <v>44244</v>
      </c>
      <c r="J945">
        <v>2</v>
      </c>
      <c r="K945">
        <v>216</v>
      </c>
      <c r="L945">
        <v>54</v>
      </c>
      <c r="M945" t="s">
        <v>156</v>
      </c>
      <c r="N945" t="s">
        <v>154</v>
      </c>
    </row>
    <row r="946" spans="1:14" x14ac:dyDescent="0.25">
      <c r="A946" t="s">
        <v>116</v>
      </c>
      <c r="B946" t="s">
        <v>110</v>
      </c>
      <c r="C946" s="1">
        <v>42277</v>
      </c>
      <c r="D946" t="s">
        <v>132</v>
      </c>
      <c r="E946">
        <v>3</v>
      </c>
      <c r="F946" s="12">
        <v>109</v>
      </c>
      <c r="G946">
        <v>1247</v>
      </c>
      <c r="H946" s="13">
        <v>135877.88</v>
      </c>
      <c r="I946" s="1">
        <v>43919</v>
      </c>
      <c r="J946">
        <v>3</v>
      </c>
      <c r="K946">
        <v>511</v>
      </c>
      <c r="L946">
        <v>54</v>
      </c>
      <c r="M946" t="s">
        <v>156</v>
      </c>
      <c r="N946" t="s">
        <v>154</v>
      </c>
    </row>
    <row r="947" spans="1:14" x14ac:dyDescent="0.25">
      <c r="A947" t="s">
        <v>61</v>
      </c>
      <c r="B947" t="s">
        <v>56</v>
      </c>
      <c r="C947" s="1">
        <v>42607</v>
      </c>
      <c r="D947" t="s">
        <v>132</v>
      </c>
      <c r="E947">
        <v>3</v>
      </c>
      <c r="F947" s="12">
        <v>109</v>
      </c>
      <c r="G947">
        <v>774</v>
      </c>
      <c r="H947" s="13">
        <v>84320.88</v>
      </c>
      <c r="I947" s="1">
        <v>44036</v>
      </c>
      <c r="J947">
        <v>7</v>
      </c>
      <c r="K947">
        <v>400</v>
      </c>
      <c r="L947">
        <v>60</v>
      </c>
      <c r="M947" t="s">
        <v>159</v>
      </c>
      <c r="N947" t="s">
        <v>153</v>
      </c>
    </row>
    <row r="948" spans="1:14" x14ac:dyDescent="0.25">
      <c r="A948" t="s">
        <v>72</v>
      </c>
      <c r="B948" t="s">
        <v>67</v>
      </c>
      <c r="C948" s="1">
        <v>43827</v>
      </c>
      <c r="D948" t="s">
        <v>132</v>
      </c>
      <c r="E948">
        <v>3</v>
      </c>
      <c r="F948" s="12">
        <v>109</v>
      </c>
      <c r="G948">
        <v>458</v>
      </c>
      <c r="H948" s="13">
        <v>49876.88</v>
      </c>
      <c r="I948" s="1">
        <v>44163</v>
      </c>
      <c r="J948">
        <v>11</v>
      </c>
      <c r="K948">
        <v>7</v>
      </c>
      <c r="L948">
        <v>30</v>
      </c>
      <c r="M948" t="s">
        <v>158</v>
      </c>
      <c r="N948" t="s">
        <v>153</v>
      </c>
    </row>
    <row r="949" spans="1:14" x14ac:dyDescent="0.25">
      <c r="A949" t="s">
        <v>114</v>
      </c>
      <c r="B949" t="s">
        <v>108</v>
      </c>
      <c r="C949" s="1">
        <v>42808</v>
      </c>
      <c r="D949" t="s">
        <v>132</v>
      </c>
      <c r="E949">
        <v>3</v>
      </c>
      <c r="F949" s="12">
        <v>109</v>
      </c>
      <c r="G949">
        <v>394</v>
      </c>
      <c r="H949" s="13">
        <v>42900.88</v>
      </c>
      <c r="I949" s="1">
        <v>44105</v>
      </c>
      <c r="J949">
        <v>10</v>
      </c>
      <c r="K949">
        <v>2</v>
      </c>
      <c r="L949">
        <v>61</v>
      </c>
      <c r="M949" t="s">
        <v>157</v>
      </c>
      <c r="N949" t="s">
        <v>154</v>
      </c>
    </row>
    <row r="950" spans="1:14" x14ac:dyDescent="0.25">
      <c r="A950" t="s">
        <v>83</v>
      </c>
      <c r="B950" t="s">
        <v>84</v>
      </c>
      <c r="C950" s="1">
        <v>43427</v>
      </c>
      <c r="D950" t="s">
        <v>132</v>
      </c>
      <c r="E950">
        <v>3</v>
      </c>
      <c r="F950" s="12">
        <v>109</v>
      </c>
      <c r="G950">
        <v>1540</v>
      </c>
      <c r="H950" s="13">
        <v>167814.88</v>
      </c>
      <c r="I950" s="1">
        <v>44272</v>
      </c>
      <c r="J950">
        <v>3</v>
      </c>
      <c r="K950">
        <v>525</v>
      </c>
      <c r="L950">
        <v>60</v>
      </c>
      <c r="M950" t="s">
        <v>159</v>
      </c>
      <c r="N950" t="s">
        <v>153</v>
      </c>
    </row>
    <row r="951" spans="1:14" x14ac:dyDescent="0.25">
      <c r="A951" t="s">
        <v>93</v>
      </c>
      <c r="B951" t="s">
        <v>94</v>
      </c>
      <c r="C951" s="1">
        <v>43618</v>
      </c>
      <c r="D951" t="s">
        <v>132</v>
      </c>
      <c r="E951">
        <v>3</v>
      </c>
      <c r="F951" s="12">
        <v>109</v>
      </c>
      <c r="G951">
        <v>321</v>
      </c>
      <c r="H951" s="13">
        <v>34943.879999999997</v>
      </c>
      <c r="I951" s="1">
        <v>43677</v>
      </c>
      <c r="J951">
        <v>7</v>
      </c>
      <c r="K951">
        <v>388</v>
      </c>
      <c r="L951">
        <v>46</v>
      </c>
      <c r="M951" t="s">
        <v>163</v>
      </c>
      <c r="N951" t="s">
        <v>154</v>
      </c>
    </row>
    <row r="952" spans="1:14" x14ac:dyDescent="0.25">
      <c r="A952" t="s">
        <v>95</v>
      </c>
      <c r="B952" t="s">
        <v>96</v>
      </c>
      <c r="C952" s="1">
        <v>43758</v>
      </c>
      <c r="D952" t="s">
        <v>132</v>
      </c>
      <c r="E952">
        <v>3</v>
      </c>
      <c r="F952" s="12">
        <v>109</v>
      </c>
      <c r="G952">
        <v>240</v>
      </c>
      <c r="H952" s="13">
        <v>26114.880000000001</v>
      </c>
      <c r="I952" s="1">
        <v>44067</v>
      </c>
      <c r="J952">
        <v>8</v>
      </c>
      <c r="K952">
        <v>114</v>
      </c>
      <c r="L952">
        <v>40</v>
      </c>
      <c r="M952" t="s">
        <v>161</v>
      </c>
      <c r="N952" t="s">
        <v>153</v>
      </c>
    </row>
    <row r="953" spans="1:14" x14ac:dyDescent="0.25">
      <c r="A953" t="s">
        <v>33</v>
      </c>
      <c r="B953" t="s">
        <v>29</v>
      </c>
      <c r="C953" s="1">
        <v>42795</v>
      </c>
      <c r="D953" t="s">
        <v>132</v>
      </c>
      <c r="E953">
        <v>3</v>
      </c>
      <c r="F953" s="12">
        <v>109</v>
      </c>
      <c r="G953">
        <v>394</v>
      </c>
      <c r="H953" s="13">
        <v>42900.88</v>
      </c>
      <c r="I953" s="1">
        <v>43730</v>
      </c>
      <c r="J953">
        <v>9</v>
      </c>
      <c r="K953">
        <v>562</v>
      </c>
      <c r="L953">
        <v>63</v>
      </c>
      <c r="M953" t="s">
        <v>157</v>
      </c>
      <c r="N953" t="s">
        <v>154</v>
      </c>
    </row>
    <row r="954" spans="1:14" x14ac:dyDescent="0.25">
      <c r="A954" t="s">
        <v>40</v>
      </c>
      <c r="B954" t="s">
        <v>0</v>
      </c>
      <c r="C954" s="1">
        <v>43287</v>
      </c>
      <c r="D954" t="s">
        <v>132</v>
      </c>
      <c r="E954">
        <v>3</v>
      </c>
      <c r="F954" s="12">
        <v>109</v>
      </c>
      <c r="G954">
        <v>489</v>
      </c>
      <c r="H954" s="13">
        <v>53255.88</v>
      </c>
      <c r="I954" s="1">
        <v>43856</v>
      </c>
      <c r="J954">
        <v>1</v>
      </c>
      <c r="K954">
        <v>305</v>
      </c>
      <c r="L954">
        <v>51</v>
      </c>
      <c r="M954" t="s">
        <v>156</v>
      </c>
      <c r="N954" t="s">
        <v>154</v>
      </c>
    </row>
    <row r="955" spans="1:14" x14ac:dyDescent="0.25">
      <c r="A955" t="s">
        <v>80</v>
      </c>
      <c r="B955" t="s">
        <v>77</v>
      </c>
      <c r="C955" s="1">
        <v>43282</v>
      </c>
      <c r="D955" t="s">
        <v>132</v>
      </c>
      <c r="E955">
        <v>3</v>
      </c>
      <c r="F955" s="12">
        <v>109</v>
      </c>
      <c r="G955">
        <v>142</v>
      </c>
      <c r="H955" s="13">
        <v>15432.88</v>
      </c>
      <c r="I955" s="1">
        <v>44059</v>
      </c>
      <c r="J955">
        <v>8</v>
      </c>
      <c r="K955">
        <v>131</v>
      </c>
      <c r="L955">
        <v>56</v>
      </c>
      <c r="M955" t="s">
        <v>159</v>
      </c>
      <c r="N955" t="s">
        <v>154</v>
      </c>
    </row>
    <row r="956" spans="1:14" x14ac:dyDescent="0.25">
      <c r="A956" t="s">
        <v>63</v>
      </c>
      <c r="B956" t="s">
        <v>58</v>
      </c>
      <c r="C956" s="1">
        <v>43155</v>
      </c>
      <c r="D956" t="s">
        <v>132</v>
      </c>
      <c r="E956">
        <v>3</v>
      </c>
      <c r="F956" s="12">
        <v>109</v>
      </c>
      <c r="G956">
        <v>182</v>
      </c>
      <c r="H956" s="13">
        <v>19792.88</v>
      </c>
      <c r="I956" s="1">
        <v>43421</v>
      </c>
      <c r="J956">
        <v>11</v>
      </c>
      <c r="K956">
        <v>539</v>
      </c>
      <c r="L956">
        <v>45</v>
      </c>
      <c r="M956" t="s">
        <v>162</v>
      </c>
      <c r="N956" t="s">
        <v>153</v>
      </c>
    </row>
    <row r="957" spans="1:14" x14ac:dyDescent="0.25">
      <c r="A957" t="s">
        <v>32</v>
      </c>
      <c r="B957" t="s">
        <v>28</v>
      </c>
      <c r="C957" s="1">
        <v>43161</v>
      </c>
      <c r="D957" t="s">
        <v>132</v>
      </c>
      <c r="E957">
        <v>3</v>
      </c>
      <c r="F957" s="12">
        <v>109</v>
      </c>
      <c r="G957">
        <v>314</v>
      </c>
      <c r="H957" s="13">
        <v>34180.879999999997</v>
      </c>
      <c r="I957" s="1">
        <v>43958</v>
      </c>
      <c r="J957">
        <v>5</v>
      </c>
      <c r="K957">
        <v>218</v>
      </c>
      <c r="L957">
        <v>47</v>
      </c>
      <c r="M957" t="s">
        <v>163</v>
      </c>
      <c r="N957" t="s">
        <v>154</v>
      </c>
    </row>
    <row r="958" spans="1:14" x14ac:dyDescent="0.25">
      <c r="A958" t="s">
        <v>95</v>
      </c>
      <c r="B958" t="s">
        <v>96</v>
      </c>
      <c r="C958" s="1">
        <v>43758</v>
      </c>
      <c r="D958" t="s">
        <v>132</v>
      </c>
      <c r="E958">
        <v>3</v>
      </c>
      <c r="F958" s="12">
        <v>109</v>
      </c>
      <c r="G958">
        <v>710</v>
      </c>
      <c r="H958" s="13">
        <v>77344.88</v>
      </c>
      <c r="I958" s="1">
        <v>44157</v>
      </c>
      <c r="J958">
        <v>11</v>
      </c>
      <c r="K958">
        <v>228</v>
      </c>
      <c r="L958">
        <v>37</v>
      </c>
      <c r="M958" t="s">
        <v>161</v>
      </c>
      <c r="N958" t="s">
        <v>153</v>
      </c>
    </row>
    <row r="959" spans="1:14" x14ac:dyDescent="0.25">
      <c r="A959" t="s">
        <v>117</v>
      </c>
      <c r="B959" t="s">
        <v>111</v>
      </c>
      <c r="C959" s="1">
        <v>42729</v>
      </c>
      <c r="D959" t="s">
        <v>132</v>
      </c>
      <c r="E959">
        <v>3</v>
      </c>
      <c r="F959" s="12">
        <v>109</v>
      </c>
      <c r="G959">
        <v>113</v>
      </c>
      <c r="H959" s="13">
        <v>12271.88</v>
      </c>
      <c r="I959" s="1">
        <v>42967</v>
      </c>
      <c r="J959">
        <v>8</v>
      </c>
      <c r="K959">
        <v>113</v>
      </c>
      <c r="L959">
        <v>56</v>
      </c>
      <c r="M959" t="s">
        <v>159</v>
      </c>
      <c r="N959" t="s">
        <v>154</v>
      </c>
    </row>
    <row r="960" spans="1:14" x14ac:dyDescent="0.25">
      <c r="A960" t="s">
        <v>114</v>
      </c>
      <c r="B960" t="s">
        <v>108</v>
      </c>
      <c r="C960" s="1">
        <v>42808</v>
      </c>
      <c r="D960" t="s">
        <v>132</v>
      </c>
      <c r="E960">
        <v>3</v>
      </c>
      <c r="F960" s="12">
        <v>109</v>
      </c>
      <c r="G960">
        <v>119</v>
      </c>
      <c r="H960" s="13">
        <v>12925.88</v>
      </c>
      <c r="I960" s="1">
        <v>43101</v>
      </c>
      <c r="J960">
        <v>1</v>
      </c>
      <c r="K960">
        <v>123</v>
      </c>
      <c r="L960">
        <v>20</v>
      </c>
      <c r="M960" t="s">
        <v>160</v>
      </c>
      <c r="N960" t="s">
        <v>153</v>
      </c>
    </row>
    <row r="961" spans="1:14" x14ac:dyDescent="0.25">
      <c r="A961" t="s">
        <v>103</v>
      </c>
      <c r="B961" t="s">
        <v>100</v>
      </c>
      <c r="C961" s="1">
        <v>42080</v>
      </c>
      <c r="D961" t="s">
        <v>132</v>
      </c>
      <c r="E961">
        <v>3</v>
      </c>
      <c r="F961" s="12">
        <v>109</v>
      </c>
      <c r="G961">
        <v>400</v>
      </c>
      <c r="H961" s="13">
        <v>43554.879999999997</v>
      </c>
      <c r="I961" s="1">
        <v>42496</v>
      </c>
      <c r="J961">
        <v>5</v>
      </c>
      <c r="K961">
        <v>133</v>
      </c>
      <c r="L961">
        <v>56</v>
      </c>
      <c r="M961" t="s">
        <v>159</v>
      </c>
      <c r="N961" t="s">
        <v>154</v>
      </c>
    </row>
    <row r="962" spans="1:14" x14ac:dyDescent="0.25">
      <c r="A962" t="s">
        <v>35</v>
      </c>
      <c r="B962" t="s">
        <v>3</v>
      </c>
      <c r="C962" s="1">
        <v>42465</v>
      </c>
      <c r="D962" t="s">
        <v>132</v>
      </c>
      <c r="E962">
        <v>3</v>
      </c>
      <c r="F962" s="12">
        <v>109</v>
      </c>
      <c r="G962">
        <v>156</v>
      </c>
      <c r="H962" s="13">
        <v>16958.88</v>
      </c>
      <c r="I962" s="1">
        <v>44133</v>
      </c>
      <c r="J962">
        <v>10</v>
      </c>
      <c r="K962">
        <v>450</v>
      </c>
      <c r="L962">
        <v>53</v>
      </c>
      <c r="M962" t="s">
        <v>156</v>
      </c>
      <c r="N962" t="s">
        <v>154</v>
      </c>
    </row>
    <row r="963" spans="1:14" x14ac:dyDescent="0.25">
      <c r="A963" t="s">
        <v>116</v>
      </c>
      <c r="B963" t="s">
        <v>110</v>
      </c>
      <c r="C963" s="1">
        <v>42277</v>
      </c>
      <c r="D963" t="s">
        <v>132</v>
      </c>
      <c r="E963">
        <v>3</v>
      </c>
      <c r="F963" s="12">
        <v>109</v>
      </c>
      <c r="G963">
        <v>134</v>
      </c>
      <c r="H963" s="13">
        <v>14560.88</v>
      </c>
      <c r="I963" s="1">
        <v>43307</v>
      </c>
      <c r="J963">
        <v>7</v>
      </c>
      <c r="K963">
        <v>120</v>
      </c>
      <c r="L963">
        <v>54</v>
      </c>
      <c r="M963" t="s">
        <v>156</v>
      </c>
      <c r="N963" t="s">
        <v>154</v>
      </c>
    </row>
    <row r="964" spans="1:14" x14ac:dyDescent="0.25">
      <c r="A964" t="s">
        <v>46</v>
      </c>
      <c r="B964" t="s">
        <v>39</v>
      </c>
      <c r="C964" s="1">
        <v>43490</v>
      </c>
      <c r="D964" t="s">
        <v>132</v>
      </c>
      <c r="E964">
        <v>3</v>
      </c>
      <c r="F964" s="12">
        <v>109</v>
      </c>
      <c r="G964">
        <v>773</v>
      </c>
      <c r="H964" s="13">
        <v>84211.88</v>
      </c>
      <c r="I964" s="1">
        <v>43616</v>
      </c>
      <c r="J964">
        <v>5</v>
      </c>
      <c r="K964">
        <v>437</v>
      </c>
      <c r="L964">
        <v>50</v>
      </c>
      <c r="M964" t="s">
        <v>163</v>
      </c>
      <c r="N964" t="s">
        <v>154</v>
      </c>
    </row>
    <row r="965" spans="1:14" x14ac:dyDescent="0.25">
      <c r="A965" t="s">
        <v>116</v>
      </c>
      <c r="B965" t="s">
        <v>110</v>
      </c>
      <c r="C965" s="1">
        <v>42277</v>
      </c>
      <c r="D965" t="s">
        <v>132</v>
      </c>
      <c r="E965">
        <v>3</v>
      </c>
      <c r="F965" s="12">
        <v>109</v>
      </c>
      <c r="G965">
        <v>441</v>
      </c>
      <c r="H965" s="13">
        <v>48023.88</v>
      </c>
      <c r="I965" s="1">
        <v>44144</v>
      </c>
      <c r="J965">
        <v>11</v>
      </c>
      <c r="K965">
        <v>222</v>
      </c>
      <c r="L965">
        <v>27</v>
      </c>
      <c r="M965" t="s">
        <v>158</v>
      </c>
      <c r="N965" t="s">
        <v>153</v>
      </c>
    </row>
    <row r="966" spans="1:14" x14ac:dyDescent="0.25">
      <c r="A966" t="s">
        <v>90</v>
      </c>
      <c r="B966" t="s">
        <v>86</v>
      </c>
      <c r="C966" s="1">
        <v>43995</v>
      </c>
      <c r="D966" t="s">
        <v>132</v>
      </c>
      <c r="E966">
        <v>3</v>
      </c>
      <c r="F966" s="12">
        <v>109</v>
      </c>
      <c r="G966">
        <v>233</v>
      </c>
      <c r="H966" s="13">
        <v>25351.88</v>
      </c>
      <c r="I966" s="1">
        <v>44095</v>
      </c>
      <c r="J966">
        <v>9</v>
      </c>
      <c r="K966">
        <v>367</v>
      </c>
      <c r="L966">
        <v>56</v>
      </c>
      <c r="M966" t="s">
        <v>159</v>
      </c>
      <c r="N966" t="s">
        <v>154</v>
      </c>
    </row>
    <row r="967" spans="1:14" x14ac:dyDescent="0.25">
      <c r="A967" t="s">
        <v>46</v>
      </c>
      <c r="B967" t="s">
        <v>39</v>
      </c>
      <c r="C967" s="1">
        <v>43490</v>
      </c>
      <c r="D967" t="s">
        <v>132</v>
      </c>
      <c r="E967">
        <v>3</v>
      </c>
      <c r="F967" s="12">
        <v>109</v>
      </c>
      <c r="G967">
        <v>410</v>
      </c>
      <c r="H967" s="13">
        <v>44644.88</v>
      </c>
      <c r="I967" s="1">
        <v>44402</v>
      </c>
      <c r="J967">
        <v>7</v>
      </c>
      <c r="K967">
        <v>253</v>
      </c>
      <c r="L967">
        <v>64</v>
      </c>
      <c r="M967" t="s">
        <v>157</v>
      </c>
      <c r="N967" t="s">
        <v>153</v>
      </c>
    </row>
    <row r="968" spans="1:14" x14ac:dyDescent="0.25">
      <c r="A968" t="s">
        <v>44</v>
      </c>
      <c r="B968" t="s">
        <v>2</v>
      </c>
      <c r="C968" s="1">
        <v>42641</v>
      </c>
      <c r="D968" t="s">
        <v>132</v>
      </c>
      <c r="E968">
        <v>3</v>
      </c>
      <c r="F968" s="12">
        <v>109</v>
      </c>
      <c r="G968">
        <v>780</v>
      </c>
      <c r="H968" s="13">
        <v>84974.88</v>
      </c>
      <c r="I968" s="1">
        <v>44097</v>
      </c>
      <c r="J968">
        <v>9</v>
      </c>
      <c r="K968">
        <v>188</v>
      </c>
      <c r="L968">
        <v>58</v>
      </c>
      <c r="M968" t="s">
        <v>159</v>
      </c>
      <c r="N968" t="s">
        <v>154</v>
      </c>
    </row>
    <row r="969" spans="1:14" x14ac:dyDescent="0.25">
      <c r="A969" t="s">
        <v>33</v>
      </c>
      <c r="B969" t="s">
        <v>29</v>
      </c>
      <c r="C969" s="1">
        <v>42795</v>
      </c>
      <c r="D969" t="s">
        <v>132</v>
      </c>
      <c r="E969">
        <v>3</v>
      </c>
      <c r="F969" s="12">
        <v>109</v>
      </c>
      <c r="G969">
        <v>487</v>
      </c>
      <c r="H969" s="13">
        <v>53037.88</v>
      </c>
      <c r="I969" s="1">
        <v>43680</v>
      </c>
      <c r="J969">
        <v>8</v>
      </c>
      <c r="K969">
        <v>545</v>
      </c>
      <c r="L969">
        <v>28</v>
      </c>
      <c r="M969" t="s">
        <v>158</v>
      </c>
      <c r="N969" t="s">
        <v>153</v>
      </c>
    </row>
    <row r="970" spans="1:14" x14ac:dyDescent="0.25">
      <c r="A970" t="s">
        <v>114</v>
      </c>
      <c r="B970" t="s">
        <v>108</v>
      </c>
      <c r="C970" s="1">
        <v>42808</v>
      </c>
      <c r="D970" t="s">
        <v>132</v>
      </c>
      <c r="E970">
        <v>3</v>
      </c>
      <c r="F970" s="12">
        <v>109</v>
      </c>
      <c r="G970">
        <v>504</v>
      </c>
      <c r="H970" s="13">
        <v>54890.879999999997</v>
      </c>
      <c r="I970" s="1">
        <v>43350</v>
      </c>
      <c r="J970">
        <v>9</v>
      </c>
      <c r="K970">
        <v>560</v>
      </c>
      <c r="L970">
        <v>62</v>
      </c>
      <c r="M970" t="s">
        <v>157</v>
      </c>
      <c r="N970" t="s">
        <v>154</v>
      </c>
    </row>
    <row r="971" spans="1:14" x14ac:dyDescent="0.25">
      <c r="A971" t="s">
        <v>31</v>
      </c>
      <c r="B971" t="s">
        <v>27</v>
      </c>
      <c r="C971" s="1">
        <v>42433</v>
      </c>
      <c r="D971" t="s">
        <v>132</v>
      </c>
      <c r="E971">
        <v>3</v>
      </c>
      <c r="F971" s="12">
        <v>109</v>
      </c>
      <c r="G971">
        <v>1770</v>
      </c>
      <c r="H971" s="13">
        <v>192884.88</v>
      </c>
      <c r="I971" s="1">
        <v>44257</v>
      </c>
      <c r="J971">
        <v>3</v>
      </c>
      <c r="K971">
        <v>574</v>
      </c>
      <c r="L971">
        <v>55</v>
      </c>
      <c r="M971" t="s">
        <v>156</v>
      </c>
      <c r="N971" t="s">
        <v>154</v>
      </c>
    </row>
    <row r="972" spans="1:14" x14ac:dyDescent="0.25">
      <c r="A972" t="s">
        <v>60</v>
      </c>
      <c r="B972" t="s">
        <v>55</v>
      </c>
      <c r="C972" s="1">
        <v>43555</v>
      </c>
      <c r="D972" t="s">
        <v>132</v>
      </c>
      <c r="E972">
        <v>3</v>
      </c>
      <c r="F972" s="12">
        <v>109</v>
      </c>
      <c r="G972">
        <v>657</v>
      </c>
      <c r="H972" s="13">
        <v>71567.88</v>
      </c>
      <c r="I972" s="1">
        <v>43788</v>
      </c>
      <c r="J972">
        <v>11</v>
      </c>
      <c r="K972">
        <v>363</v>
      </c>
      <c r="L972">
        <v>52</v>
      </c>
      <c r="M972" t="s">
        <v>156</v>
      </c>
      <c r="N972" t="s">
        <v>154</v>
      </c>
    </row>
    <row r="973" spans="1:14" x14ac:dyDescent="0.25">
      <c r="A973" t="s">
        <v>41</v>
      </c>
      <c r="B973" t="s">
        <v>36</v>
      </c>
      <c r="C973" s="1">
        <v>42880</v>
      </c>
      <c r="D973" t="s">
        <v>132</v>
      </c>
      <c r="E973">
        <v>3</v>
      </c>
      <c r="F973" s="12">
        <v>109</v>
      </c>
      <c r="G973">
        <v>233</v>
      </c>
      <c r="H973" s="13">
        <v>25351.88</v>
      </c>
      <c r="I973" s="1">
        <v>43460</v>
      </c>
      <c r="J973">
        <v>12</v>
      </c>
      <c r="K973">
        <v>25</v>
      </c>
      <c r="L973">
        <v>59</v>
      </c>
      <c r="M973" t="s">
        <v>159</v>
      </c>
      <c r="N973" t="s">
        <v>154</v>
      </c>
    </row>
    <row r="974" spans="1:14" x14ac:dyDescent="0.25">
      <c r="A974" t="s">
        <v>62</v>
      </c>
      <c r="B974" t="s">
        <v>57</v>
      </c>
      <c r="C974" s="1">
        <v>43724</v>
      </c>
      <c r="D974" t="s">
        <v>132</v>
      </c>
      <c r="E974">
        <v>3</v>
      </c>
      <c r="F974" s="12">
        <v>109</v>
      </c>
      <c r="G974">
        <v>120</v>
      </c>
      <c r="H974" s="13">
        <v>13034.88</v>
      </c>
      <c r="I974" s="1">
        <v>44209</v>
      </c>
      <c r="J974">
        <v>1</v>
      </c>
      <c r="K974">
        <v>570</v>
      </c>
      <c r="L974">
        <v>21</v>
      </c>
      <c r="M974" t="s">
        <v>160</v>
      </c>
      <c r="N974" t="s">
        <v>154</v>
      </c>
    </row>
    <row r="975" spans="1:14" x14ac:dyDescent="0.25">
      <c r="A975" t="s">
        <v>80</v>
      </c>
      <c r="B975" t="s">
        <v>77</v>
      </c>
      <c r="C975" s="1">
        <v>43282</v>
      </c>
      <c r="D975" t="s">
        <v>132</v>
      </c>
      <c r="E975">
        <v>3</v>
      </c>
      <c r="F975" s="12">
        <v>109</v>
      </c>
      <c r="G975">
        <v>762</v>
      </c>
      <c r="H975" s="13">
        <v>83012.88</v>
      </c>
      <c r="I975" s="1">
        <v>44104</v>
      </c>
      <c r="J975">
        <v>9</v>
      </c>
      <c r="K975">
        <v>285</v>
      </c>
      <c r="L975">
        <v>46</v>
      </c>
      <c r="M975" t="s">
        <v>163</v>
      </c>
      <c r="N975" t="s">
        <v>154</v>
      </c>
    </row>
    <row r="976" spans="1:14" x14ac:dyDescent="0.25">
      <c r="A976" t="s">
        <v>41</v>
      </c>
      <c r="B976" t="s">
        <v>36</v>
      </c>
      <c r="C976" s="1">
        <v>42880</v>
      </c>
      <c r="D976" t="s">
        <v>132</v>
      </c>
      <c r="E976">
        <v>3</v>
      </c>
      <c r="F976" s="12">
        <v>109</v>
      </c>
      <c r="G976">
        <v>1121</v>
      </c>
      <c r="H976" s="13">
        <v>122143.88</v>
      </c>
      <c r="I976" s="1">
        <v>44270</v>
      </c>
      <c r="J976">
        <v>3</v>
      </c>
      <c r="K976">
        <v>245</v>
      </c>
      <c r="L976">
        <v>25</v>
      </c>
      <c r="M976" t="s">
        <v>160</v>
      </c>
      <c r="N976" t="s">
        <v>153</v>
      </c>
    </row>
    <row r="977" spans="1:14" x14ac:dyDescent="0.25">
      <c r="A977" t="s">
        <v>62</v>
      </c>
      <c r="B977" t="s">
        <v>57</v>
      </c>
      <c r="C977" s="1">
        <v>43724</v>
      </c>
      <c r="D977" t="s">
        <v>132</v>
      </c>
      <c r="E977">
        <v>3</v>
      </c>
      <c r="F977" s="12">
        <v>109</v>
      </c>
      <c r="G977">
        <v>158</v>
      </c>
      <c r="H977" s="13">
        <v>17176.88</v>
      </c>
      <c r="I977" s="1">
        <v>44077</v>
      </c>
      <c r="J977">
        <v>9</v>
      </c>
      <c r="K977">
        <v>470</v>
      </c>
      <c r="L977">
        <v>43</v>
      </c>
      <c r="M977" t="s">
        <v>162</v>
      </c>
      <c r="N977" t="s">
        <v>153</v>
      </c>
    </row>
    <row r="978" spans="1:14" x14ac:dyDescent="0.25">
      <c r="A978" t="s">
        <v>105</v>
      </c>
      <c r="B978" t="s">
        <v>106</v>
      </c>
      <c r="C978" s="1">
        <v>43451</v>
      </c>
      <c r="D978" t="s">
        <v>132</v>
      </c>
      <c r="E978">
        <v>3</v>
      </c>
      <c r="F978" s="12">
        <v>109</v>
      </c>
      <c r="G978">
        <v>437</v>
      </c>
      <c r="H978" s="13">
        <v>47587.88</v>
      </c>
      <c r="I978" s="1">
        <v>43768</v>
      </c>
      <c r="J978">
        <v>10</v>
      </c>
      <c r="K978">
        <v>153</v>
      </c>
      <c r="L978">
        <v>50</v>
      </c>
      <c r="M978" t="s">
        <v>163</v>
      </c>
      <c r="N978" t="s">
        <v>153</v>
      </c>
    </row>
    <row r="979" spans="1:14" x14ac:dyDescent="0.25">
      <c r="A979" t="s">
        <v>102</v>
      </c>
      <c r="B979" t="s">
        <v>99</v>
      </c>
      <c r="C979" s="1">
        <v>43488</v>
      </c>
      <c r="D979" t="s">
        <v>132</v>
      </c>
      <c r="E979">
        <v>3</v>
      </c>
      <c r="F979" s="12">
        <v>109</v>
      </c>
      <c r="G979">
        <v>444</v>
      </c>
      <c r="H979" s="13">
        <v>48350.879999999997</v>
      </c>
      <c r="I979" s="1">
        <v>44159</v>
      </c>
      <c r="J979">
        <v>11</v>
      </c>
      <c r="K979">
        <v>216</v>
      </c>
      <c r="L979">
        <v>54</v>
      </c>
      <c r="M979" t="s">
        <v>156</v>
      </c>
      <c r="N979" t="s">
        <v>154</v>
      </c>
    </row>
    <row r="980" spans="1:14" x14ac:dyDescent="0.25">
      <c r="A980" t="s">
        <v>102</v>
      </c>
      <c r="B980" t="s">
        <v>99</v>
      </c>
      <c r="C980" s="1">
        <v>43488</v>
      </c>
      <c r="D980" t="s">
        <v>132</v>
      </c>
      <c r="E980">
        <v>3</v>
      </c>
      <c r="F980" s="12">
        <v>109</v>
      </c>
      <c r="G980">
        <v>154</v>
      </c>
      <c r="H980" s="13">
        <v>16740.88</v>
      </c>
      <c r="I980" s="1">
        <v>43846</v>
      </c>
      <c r="J980">
        <v>1</v>
      </c>
      <c r="K980">
        <v>334</v>
      </c>
      <c r="L980">
        <v>28</v>
      </c>
      <c r="M980" t="s">
        <v>158</v>
      </c>
      <c r="N980" t="s">
        <v>153</v>
      </c>
    </row>
    <row r="981" spans="1:14" x14ac:dyDescent="0.25">
      <c r="A981" t="s">
        <v>118</v>
      </c>
      <c r="B981" t="s">
        <v>112</v>
      </c>
      <c r="C981" s="1">
        <v>43001</v>
      </c>
      <c r="D981" t="s">
        <v>132</v>
      </c>
      <c r="E981">
        <v>3</v>
      </c>
      <c r="F981" s="12">
        <v>109</v>
      </c>
      <c r="G981">
        <v>1349</v>
      </c>
      <c r="H981" s="13">
        <v>146995.88</v>
      </c>
      <c r="I981" s="1">
        <v>44246</v>
      </c>
      <c r="J981">
        <v>2</v>
      </c>
      <c r="K981">
        <v>600</v>
      </c>
      <c r="L981">
        <v>57</v>
      </c>
      <c r="M981" t="s">
        <v>159</v>
      </c>
      <c r="N981" t="s">
        <v>154</v>
      </c>
    </row>
    <row r="982" spans="1:14" x14ac:dyDescent="0.25">
      <c r="A982" t="s">
        <v>74</v>
      </c>
      <c r="B982" t="s">
        <v>69</v>
      </c>
      <c r="C982" s="1">
        <v>42228</v>
      </c>
      <c r="D982" t="s">
        <v>132</v>
      </c>
      <c r="E982">
        <v>3</v>
      </c>
      <c r="F982" s="12">
        <v>109</v>
      </c>
      <c r="G982">
        <v>478</v>
      </c>
      <c r="H982" s="13">
        <v>52056.88</v>
      </c>
      <c r="I982" s="1">
        <v>43621</v>
      </c>
      <c r="J982">
        <v>6</v>
      </c>
      <c r="K982">
        <v>58</v>
      </c>
      <c r="L982">
        <v>25</v>
      </c>
      <c r="M982" t="s">
        <v>160</v>
      </c>
      <c r="N982" t="s">
        <v>153</v>
      </c>
    </row>
    <row r="983" spans="1:14" x14ac:dyDescent="0.25">
      <c r="A983" t="s">
        <v>60</v>
      </c>
      <c r="B983" t="s">
        <v>55</v>
      </c>
      <c r="C983" s="1">
        <v>43555</v>
      </c>
      <c r="D983" t="s">
        <v>132</v>
      </c>
      <c r="E983">
        <v>3</v>
      </c>
      <c r="F983" s="12">
        <v>109</v>
      </c>
      <c r="G983">
        <v>956</v>
      </c>
      <c r="H983" s="13">
        <v>104158.88</v>
      </c>
      <c r="I983" s="1">
        <v>44304</v>
      </c>
      <c r="J983">
        <v>4</v>
      </c>
      <c r="K983">
        <v>114</v>
      </c>
      <c r="L983">
        <v>40</v>
      </c>
      <c r="M983" t="s">
        <v>161</v>
      </c>
      <c r="N983" t="s">
        <v>153</v>
      </c>
    </row>
    <row r="984" spans="1:14" x14ac:dyDescent="0.25">
      <c r="A984" t="s">
        <v>80</v>
      </c>
      <c r="B984" t="s">
        <v>77</v>
      </c>
      <c r="C984" s="1">
        <v>43282</v>
      </c>
      <c r="D984" t="s">
        <v>132</v>
      </c>
      <c r="E984">
        <v>3</v>
      </c>
      <c r="F984" s="12">
        <v>109</v>
      </c>
      <c r="G984">
        <v>216</v>
      </c>
      <c r="H984" s="13">
        <v>23498.880000000001</v>
      </c>
      <c r="I984" s="1">
        <v>44357</v>
      </c>
      <c r="J984">
        <v>6</v>
      </c>
      <c r="K984">
        <v>374</v>
      </c>
      <c r="L984">
        <v>53</v>
      </c>
      <c r="M984" t="s">
        <v>156</v>
      </c>
      <c r="N984" t="s">
        <v>154</v>
      </c>
    </row>
    <row r="985" spans="1:14" x14ac:dyDescent="0.25">
      <c r="A985" t="s">
        <v>95</v>
      </c>
      <c r="B985" t="s">
        <v>96</v>
      </c>
      <c r="C985" s="1">
        <v>43758</v>
      </c>
      <c r="D985" t="s">
        <v>132</v>
      </c>
      <c r="E985">
        <v>3</v>
      </c>
      <c r="F985" s="12">
        <v>109</v>
      </c>
      <c r="G985">
        <v>743</v>
      </c>
      <c r="H985" s="13">
        <v>80941.88</v>
      </c>
      <c r="I985" s="1">
        <v>44037</v>
      </c>
      <c r="J985">
        <v>7</v>
      </c>
      <c r="K985">
        <v>351</v>
      </c>
      <c r="L985">
        <v>45</v>
      </c>
      <c r="M985" t="s">
        <v>162</v>
      </c>
      <c r="N985" t="s">
        <v>154</v>
      </c>
    </row>
    <row r="986" spans="1:14" x14ac:dyDescent="0.25">
      <c r="A986" t="s">
        <v>89</v>
      </c>
      <c r="B986" t="s">
        <v>85</v>
      </c>
      <c r="C986" s="1">
        <v>43093</v>
      </c>
      <c r="D986" t="s">
        <v>132</v>
      </c>
      <c r="E986">
        <v>3</v>
      </c>
      <c r="F986" s="12">
        <v>109</v>
      </c>
      <c r="G986">
        <v>249</v>
      </c>
      <c r="H986" s="13">
        <v>27095.88</v>
      </c>
      <c r="I986" s="1">
        <v>43770</v>
      </c>
      <c r="J986">
        <v>11</v>
      </c>
      <c r="K986">
        <v>241</v>
      </c>
      <c r="L986">
        <v>52</v>
      </c>
      <c r="M986" t="s">
        <v>156</v>
      </c>
      <c r="N986" t="s">
        <v>153</v>
      </c>
    </row>
    <row r="987" spans="1:14" x14ac:dyDescent="0.25">
      <c r="A987" t="s">
        <v>95</v>
      </c>
      <c r="B987" t="s">
        <v>96</v>
      </c>
      <c r="C987" s="1">
        <v>43758</v>
      </c>
      <c r="D987" t="s">
        <v>132</v>
      </c>
      <c r="E987">
        <v>3</v>
      </c>
      <c r="F987" s="12">
        <v>109</v>
      </c>
      <c r="G987">
        <v>454</v>
      </c>
      <c r="H987" s="13">
        <v>49440.88</v>
      </c>
      <c r="I987" s="1">
        <v>44319</v>
      </c>
      <c r="J987">
        <v>5</v>
      </c>
      <c r="K987">
        <v>515</v>
      </c>
      <c r="L987">
        <v>37</v>
      </c>
      <c r="M987" t="s">
        <v>161</v>
      </c>
      <c r="N987" t="s">
        <v>153</v>
      </c>
    </row>
    <row r="988" spans="1:14" x14ac:dyDescent="0.25">
      <c r="A988" t="s">
        <v>91</v>
      </c>
      <c r="B988" t="s">
        <v>87</v>
      </c>
      <c r="C988" s="1">
        <v>43557</v>
      </c>
      <c r="D988" t="s">
        <v>132</v>
      </c>
      <c r="E988">
        <v>3</v>
      </c>
      <c r="F988" s="12">
        <v>109</v>
      </c>
      <c r="G988">
        <v>789</v>
      </c>
      <c r="H988" s="13">
        <v>85955.88</v>
      </c>
      <c r="I988" s="1">
        <v>43977</v>
      </c>
      <c r="J988">
        <v>5</v>
      </c>
      <c r="K988">
        <v>182</v>
      </c>
      <c r="L988">
        <v>55</v>
      </c>
      <c r="M988" t="s">
        <v>156</v>
      </c>
      <c r="N988" t="s">
        <v>154</v>
      </c>
    </row>
    <row r="989" spans="1:14" x14ac:dyDescent="0.25">
      <c r="A989" t="s">
        <v>35</v>
      </c>
      <c r="B989" t="s">
        <v>3</v>
      </c>
      <c r="C989" s="1">
        <v>42465</v>
      </c>
      <c r="D989" t="s">
        <v>132</v>
      </c>
      <c r="E989">
        <v>3</v>
      </c>
      <c r="F989" s="12">
        <v>109</v>
      </c>
      <c r="G989">
        <v>275</v>
      </c>
      <c r="H989" s="13">
        <v>29929.88</v>
      </c>
      <c r="I989" s="1">
        <v>42639</v>
      </c>
      <c r="J989">
        <v>9</v>
      </c>
      <c r="K989">
        <v>210</v>
      </c>
      <c r="L989">
        <v>55</v>
      </c>
      <c r="M989" t="s">
        <v>156</v>
      </c>
      <c r="N989" t="s">
        <v>154</v>
      </c>
    </row>
    <row r="990" spans="1:14" x14ac:dyDescent="0.25">
      <c r="A990" t="s">
        <v>90</v>
      </c>
      <c r="B990" t="s">
        <v>86</v>
      </c>
      <c r="C990" s="1">
        <v>43995</v>
      </c>
      <c r="D990" t="s">
        <v>132</v>
      </c>
      <c r="E990">
        <v>3</v>
      </c>
      <c r="F990" s="12">
        <v>109</v>
      </c>
      <c r="G990">
        <v>784</v>
      </c>
      <c r="H990" s="13">
        <v>85410.880000000005</v>
      </c>
      <c r="I990" s="1">
        <v>44429</v>
      </c>
      <c r="J990">
        <v>8</v>
      </c>
      <c r="K990">
        <v>238</v>
      </c>
      <c r="L990">
        <v>30</v>
      </c>
      <c r="M990" t="s">
        <v>158</v>
      </c>
      <c r="N990" t="s">
        <v>154</v>
      </c>
    </row>
    <row r="991" spans="1:14" x14ac:dyDescent="0.25">
      <c r="A991" t="s">
        <v>51</v>
      </c>
      <c r="B991" t="s">
        <v>49</v>
      </c>
      <c r="C991" s="1">
        <v>42394</v>
      </c>
      <c r="D991" t="s">
        <v>132</v>
      </c>
      <c r="E991">
        <v>3</v>
      </c>
      <c r="F991" s="12">
        <v>109</v>
      </c>
      <c r="G991">
        <v>732</v>
      </c>
      <c r="H991" s="13">
        <v>79742.880000000005</v>
      </c>
      <c r="I991" s="1">
        <v>44409</v>
      </c>
      <c r="J991">
        <v>8</v>
      </c>
      <c r="K991">
        <v>423</v>
      </c>
      <c r="L991">
        <v>54</v>
      </c>
      <c r="M991" t="s">
        <v>156</v>
      </c>
      <c r="N991" t="s">
        <v>153</v>
      </c>
    </row>
    <row r="992" spans="1:14" x14ac:dyDescent="0.25">
      <c r="A992" t="s">
        <v>95</v>
      </c>
      <c r="B992" t="s">
        <v>96</v>
      </c>
      <c r="C992" s="1">
        <v>43758</v>
      </c>
      <c r="D992" t="s">
        <v>132</v>
      </c>
      <c r="E992">
        <v>3</v>
      </c>
      <c r="F992" s="12">
        <v>109</v>
      </c>
      <c r="G992">
        <v>1379</v>
      </c>
      <c r="H992" s="13">
        <v>150265.88</v>
      </c>
      <c r="I992" s="1">
        <v>44232</v>
      </c>
      <c r="J992">
        <v>2</v>
      </c>
      <c r="K992">
        <v>483</v>
      </c>
      <c r="L992">
        <v>57</v>
      </c>
      <c r="M992" t="s">
        <v>159</v>
      </c>
      <c r="N992" t="s">
        <v>154</v>
      </c>
    </row>
    <row r="993" spans="1:14" x14ac:dyDescent="0.25">
      <c r="A993" t="s">
        <v>115</v>
      </c>
      <c r="B993" t="s">
        <v>109</v>
      </c>
      <c r="C993" s="1">
        <v>43357</v>
      </c>
      <c r="D993" t="s">
        <v>132</v>
      </c>
      <c r="E993">
        <v>3</v>
      </c>
      <c r="F993" s="12">
        <v>109</v>
      </c>
      <c r="G993">
        <v>296</v>
      </c>
      <c r="H993" s="13">
        <v>32218.880000000001</v>
      </c>
      <c r="I993" s="1">
        <v>44049</v>
      </c>
      <c r="J993">
        <v>8</v>
      </c>
      <c r="K993">
        <v>341</v>
      </c>
      <c r="L993">
        <v>59</v>
      </c>
      <c r="M993" t="s">
        <v>159</v>
      </c>
      <c r="N993" t="s">
        <v>154</v>
      </c>
    </row>
    <row r="994" spans="1:14" x14ac:dyDescent="0.25">
      <c r="A994" t="s">
        <v>90</v>
      </c>
      <c r="B994" t="s">
        <v>86</v>
      </c>
      <c r="C994" s="1">
        <v>43995</v>
      </c>
      <c r="D994" t="s">
        <v>132</v>
      </c>
      <c r="E994">
        <v>3</v>
      </c>
      <c r="F994" s="12">
        <v>109</v>
      </c>
      <c r="G994">
        <v>914</v>
      </c>
      <c r="H994" s="13">
        <v>99580.88</v>
      </c>
      <c r="I994" s="1">
        <v>44284</v>
      </c>
      <c r="J994">
        <v>3</v>
      </c>
      <c r="K994">
        <v>595</v>
      </c>
      <c r="L994">
        <v>59</v>
      </c>
      <c r="M994" t="s">
        <v>159</v>
      </c>
      <c r="N994" t="s">
        <v>154</v>
      </c>
    </row>
    <row r="995" spans="1:14" x14ac:dyDescent="0.25">
      <c r="A995" t="s">
        <v>92</v>
      </c>
      <c r="B995" t="s">
        <v>88</v>
      </c>
      <c r="C995" s="1">
        <v>42660</v>
      </c>
      <c r="D995" t="s">
        <v>132</v>
      </c>
      <c r="E995">
        <v>3</v>
      </c>
      <c r="F995" s="12">
        <v>109</v>
      </c>
      <c r="G995">
        <v>585</v>
      </c>
      <c r="H995" s="13">
        <v>63719.88</v>
      </c>
      <c r="I995" s="1">
        <v>43627</v>
      </c>
      <c r="J995">
        <v>6</v>
      </c>
      <c r="K995">
        <v>551</v>
      </c>
      <c r="L995">
        <v>52</v>
      </c>
      <c r="M995" t="s">
        <v>156</v>
      </c>
      <c r="N995" t="s">
        <v>153</v>
      </c>
    </row>
    <row r="996" spans="1:14" x14ac:dyDescent="0.25">
      <c r="A996" t="s">
        <v>75</v>
      </c>
      <c r="B996" t="s">
        <v>76</v>
      </c>
      <c r="C996" s="1">
        <v>43003</v>
      </c>
      <c r="D996" t="s">
        <v>132</v>
      </c>
      <c r="E996">
        <v>3</v>
      </c>
      <c r="F996" s="12">
        <v>109</v>
      </c>
      <c r="G996">
        <v>185</v>
      </c>
      <c r="H996" s="13">
        <v>20119.88</v>
      </c>
      <c r="I996" s="1">
        <v>43438</v>
      </c>
      <c r="J996">
        <v>12</v>
      </c>
      <c r="K996">
        <v>372</v>
      </c>
      <c r="L996">
        <v>58</v>
      </c>
      <c r="M996" t="s">
        <v>159</v>
      </c>
      <c r="N996" t="s">
        <v>154</v>
      </c>
    </row>
    <row r="997" spans="1:14" x14ac:dyDescent="0.25">
      <c r="A997" t="s">
        <v>53</v>
      </c>
      <c r="B997" t="s">
        <v>54</v>
      </c>
      <c r="C997" s="1">
        <v>42816</v>
      </c>
      <c r="D997" t="s">
        <v>132</v>
      </c>
      <c r="E997">
        <v>3</v>
      </c>
      <c r="F997" s="12">
        <v>109</v>
      </c>
      <c r="G997">
        <v>1566</v>
      </c>
      <c r="H997" s="13">
        <v>170648.88</v>
      </c>
      <c r="I997" s="1">
        <v>43911</v>
      </c>
      <c r="J997">
        <v>3</v>
      </c>
      <c r="K997">
        <v>154</v>
      </c>
      <c r="L997">
        <v>35</v>
      </c>
      <c r="M997" t="s">
        <v>164</v>
      </c>
      <c r="N997" t="s">
        <v>153</v>
      </c>
    </row>
    <row r="998" spans="1:14" x14ac:dyDescent="0.25">
      <c r="A998" t="s">
        <v>44</v>
      </c>
      <c r="B998" t="s">
        <v>2</v>
      </c>
      <c r="C998" s="1">
        <v>42641</v>
      </c>
      <c r="D998" t="s">
        <v>132</v>
      </c>
      <c r="E998">
        <v>3</v>
      </c>
      <c r="F998" s="12">
        <v>109</v>
      </c>
      <c r="G998">
        <v>798</v>
      </c>
      <c r="H998" s="13">
        <v>86936.88</v>
      </c>
      <c r="I998" s="1">
        <v>43125</v>
      </c>
      <c r="J998">
        <v>1</v>
      </c>
      <c r="K998">
        <v>595</v>
      </c>
      <c r="L998">
        <v>59</v>
      </c>
      <c r="M998" t="s">
        <v>159</v>
      </c>
      <c r="N998" t="s">
        <v>154</v>
      </c>
    </row>
    <row r="999" spans="1:14" x14ac:dyDescent="0.25">
      <c r="A999" t="s">
        <v>93</v>
      </c>
      <c r="B999" t="s">
        <v>94</v>
      </c>
      <c r="C999" s="1">
        <v>43618</v>
      </c>
      <c r="D999" t="s">
        <v>132</v>
      </c>
      <c r="E999">
        <v>3</v>
      </c>
      <c r="F999" s="12">
        <v>109</v>
      </c>
      <c r="G999">
        <v>151</v>
      </c>
      <c r="H999" s="13">
        <v>16413.88</v>
      </c>
      <c r="I999" s="1">
        <v>44017</v>
      </c>
      <c r="J999">
        <v>7</v>
      </c>
      <c r="K999">
        <v>298</v>
      </c>
      <c r="L999">
        <v>57</v>
      </c>
      <c r="M999" t="s">
        <v>159</v>
      </c>
      <c r="N999" t="s">
        <v>154</v>
      </c>
    </row>
    <row r="1000" spans="1:14" x14ac:dyDescent="0.25">
      <c r="A1000" t="s">
        <v>113</v>
      </c>
      <c r="B1000" t="s">
        <v>107</v>
      </c>
      <c r="C1000" s="1">
        <v>43912</v>
      </c>
      <c r="D1000" t="s">
        <v>132</v>
      </c>
      <c r="E1000">
        <v>3</v>
      </c>
      <c r="F1000" s="12">
        <v>109</v>
      </c>
      <c r="G1000">
        <v>306</v>
      </c>
      <c r="H1000" s="13">
        <v>33308.879999999997</v>
      </c>
      <c r="I1000" s="1">
        <v>44424</v>
      </c>
      <c r="J1000">
        <v>8</v>
      </c>
      <c r="K1000">
        <v>169</v>
      </c>
      <c r="L1000">
        <v>65</v>
      </c>
      <c r="M1000" t="s">
        <v>157</v>
      </c>
      <c r="N1000" t="s">
        <v>154</v>
      </c>
    </row>
    <row r="1001" spans="1:14" x14ac:dyDescent="0.25">
      <c r="A1001" t="s">
        <v>115</v>
      </c>
      <c r="B1001" t="s">
        <v>109</v>
      </c>
      <c r="C1001" s="1">
        <v>43357</v>
      </c>
      <c r="D1001" t="s">
        <v>132</v>
      </c>
      <c r="E1001">
        <v>3</v>
      </c>
      <c r="F1001" s="12">
        <v>109</v>
      </c>
      <c r="G1001">
        <v>574</v>
      </c>
      <c r="H1001" s="13">
        <v>62520.88</v>
      </c>
      <c r="I1001" s="1">
        <v>43442</v>
      </c>
      <c r="J1001">
        <v>12</v>
      </c>
      <c r="K1001">
        <v>557</v>
      </c>
      <c r="L1001">
        <v>35</v>
      </c>
      <c r="M1001" t="s">
        <v>164</v>
      </c>
      <c r="N1001" t="s">
        <v>154</v>
      </c>
    </row>
    <row r="1002" spans="1:14" x14ac:dyDescent="0.25">
      <c r="A1002" t="s">
        <v>72</v>
      </c>
      <c r="B1002" t="s">
        <v>67</v>
      </c>
      <c r="C1002" s="1">
        <v>43827</v>
      </c>
      <c r="D1002" t="s">
        <v>132</v>
      </c>
      <c r="E1002">
        <v>3</v>
      </c>
      <c r="F1002" s="12">
        <v>109</v>
      </c>
      <c r="G1002">
        <v>225</v>
      </c>
      <c r="H1002" s="13">
        <v>24479.88</v>
      </c>
      <c r="I1002" s="1">
        <v>44342</v>
      </c>
      <c r="J1002">
        <v>5</v>
      </c>
      <c r="K1002">
        <v>228</v>
      </c>
      <c r="L1002">
        <v>37</v>
      </c>
      <c r="M1002" t="s">
        <v>161</v>
      </c>
      <c r="N1002" t="s">
        <v>153</v>
      </c>
    </row>
    <row r="1003" spans="1:14" x14ac:dyDescent="0.25">
      <c r="A1003" t="s">
        <v>89</v>
      </c>
      <c r="B1003" t="s">
        <v>85</v>
      </c>
      <c r="C1003" s="1">
        <v>43093</v>
      </c>
      <c r="D1003" t="s">
        <v>132</v>
      </c>
      <c r="E1003">
        <v>3</v>
      </c>
      <c r="F1003" s="12">
        <v>109</v>
      </c>
      <c r="G1003">
        <v>522</v>
      </c>
      <c r="H1003" s="13">
        <v>56852.88</v>
      </c>
      <c r="I1003" s="1">
        <v>44206</v>
      </c>
      <c r="J1003">
        <v>1</v>
      </c>
      <c r="K1003">
        <v>281</v>
      </c>
      <c r="L1003">
        <v>20</v>
      </c>
      <c r="M1003" t="s">
        <v>160</v>
      </c>
      <c r="N1003" t="s">
        <v>153</v>
      </c>
    </row>
    <row r="1004" spans="1:14" x14ac:dyDescent="0.25">
      <c r="A1004" t="s">
        <v>80</v>
      </c>
      <c r="B1004" t="s">
        <v>77</v>
      </c>
      <c r="C1004" s="1">
        <v>43282</v>
      </c>
      <c r="D1004" t="s">
        <v>132</v>
      </c>
      <c r="E1004">
        <v>3</v>
      </c>
      <c r="F1004" s="12">
        <v>109</v>
      </c>
      <c r="G1004">
        <v>688</v>
      </c>
      <c r="H1004" s="13">
        <v>74946.880000000005</v>
      </c>
      <c r="I1004" s="1">
        <v>44012</v>
      </c>
      <c r="J1004">
        <v>6</v>
      </c>
      <c r="K1004">
        <v>433</v>
      </c>
      <c r="L1004">
        <v>35</v>
      </c>
      <c r="M1004" t="s">
        <v>164</v>
      </c>
      <c r="N1004" t="s">
        <v>153</v>
      </c>
    </row>
    <row r="1005" spans="1:14" x14ac:dyDescent="0.25">
      <c r="A1005" t="s">
        <v>118</v>
      </c>
      <c r="B1005" t="s">
        <v>112</v>
      </c>
      <c r="C1005" s="1">
        <v>43001</v>
      </c>
      <c r="D1005" t="s">
        <v>132</v>
      </c>
      <c r="E1005">
        <v>3</v>
      </c>
      <c r="F1005" s="12">
        <v>109</v>
      </c>
      <c r="G1005">
        <v>237</v>
      </c>
      <c r="H1005" s="13">
        <v>25787.88</v>
      </c>
      <c r="I1005" s="1">
        <v>44366</v>
      </c>
      <c r="J1005">
        <v>6</v>
      </c>
      <c r="K1005">
        <v>304</v>
      </c>
      <c r="L1005">
        <v>20</v>
      </c>
      <c r="M1005" t="s">
        <v>160</v>
      </c>
      <c r="N1005" t="s">
        <v>153</v>
      </c>
    </row>
    <row r="1006" spans="1:14" x14ac:dyDescent="0.25">
      <c r="A1006" t="s">
        <v>82</v>
      </c>
      <c r="B1006" t="s">
        <v>79</v>
      </c>
      <c r="C1006" s="1">
        <v>43278</v>
      </c>
      <c r="D1006" t="s">
        <v>132</v>
      </c>
      <c r="E1006">
        <v>3</v>
      </c>
      <c r="F1006" s="12">
        <v>109</v>
      </c>
      <c r="G1006">
        <v>347</v>
      </c>
      <c r="H1006" s="13">
        <v>37777.879999999997</v>
      </c>
      <c r="I1006" s="1">
        <v>43484</v>
      </c>
      <c r="J1006">
        <v>1</v>
      </c>
      <c r="K1006">
        <v>544</v>
      </c>
      <c r="L1006">
        <v>59</v>
      </c>
      <c r="M1006" t="s">
        <v>159</v>
      </c>
      <c r="N1006" t="s">
        <v>154</v>
      </c>
    </row>
    <row r="1007" spans="1:14" x14ac:dyDescent="0.25">
      <c r="A1007" t="s">
        <v>72</v>
      </c>
      <c r="B1007" t="s">
        <v>67</v>
      </c>
      <c r="C1007" s="1">
        <v>43827</v>
      </c>
      <c r="D1007" t="s">
        <v>132</v>
      </c>
      <c r="E1007">
        <v>3</v>
      </c>
      <c r="F1007" s="12">
        <v>109</v>
      </c>
      <c r="G1007">
        <v>529</v>
      </c>
      <c r="H1007" s="13">
        <v>57615.88</v>
      </c>
      <c r="I1007" s="1">
        <v>44138</v>
      </c>
      <c r="J1007">
        <v>11</v>
      </c>
      <c r="K1007">
        <v>512</v>
      </c>
      <c r="L1007">
        <v>55</v>
      </c>
      <c r="M1007" t="s">
        <v>156</v>
      </c>
      <c r="N1007" t="s">
        <v>154</v>
      </c>
    </row>
    <row r="1008" spans="1:14" x14ac:dyDescent="0.25">
      <c r="A1008" t="s">
        <v>91</v>
      </c>
      <c r="B1008" t="s">
        <v>87</v>
      </c>
      <c r="C1008" s="1">
        <v>43557</v>
      </c>
      <c r="D1008" t="s">
        <v>132</v>
      </c>
      <c r="E1008">
        <v>3</v>
      </c>
      <c r="F1008" s="12">
        <v>109</v>
      </c>
      <c r="G1008">
        <v>394</v>
      </c>
      <c r="H1008" s="13">
        <v>42900.88</v>
      </c>
      <c r="I1008" s="1">
        <v>43813</v>
      </c>
      <c r="J1008">
        <v>12</v>
      </c>
      <c r="K1008">
        <v>460</v>
      </c>
      <c r="L1008">
        <v>56</v>
      </c>
      <c r="M1008" t="s">
        <v>159</v>
      </c>
      <c r="N1008" t="s">
        <v>154</v>
      </c>
    </row>
    <row r="1009" spans="1:14" x14ac:dyDescent="0.25">
      <c r="A1009" t="s">
        <v>75</v>
      </c>
      <c r="B1009" t="s">
        <v>76</v>
      </c>
      <c r="C1009" s="1">
        <v>43003</v>
      </c>
      <c r="D1009" t="s">
        <v>132</v>
      </c>
      <c r="E1009">
        <v>3</v>
      </c>
      <c r="F1009" s="12">
        <v>109</v>
      </c>
      <c r="G1009">
        <v>345</v>
      </c>
      <c r="H1009" s="13">
        <v>37559.879999999997</v>
      </c>
      <c r="I1009" s="1">
        <v>43778</v>
      </c>
      <c r="J1009">
        <v>11</v>
      </c>
      <c r="K1009">
        <v>237</v>
      </c>
      <c r="L1009">
        <v>55</v>
      </c>
      <c r="M1009" t="s">
        <v>156</v>
      </c>
      <c r="N1009" t="s">
        <v>154</v>
      </c>
    </row>
    <row r="1010" spans="1:14" x14ac:dyDescent="0.25">
      <c r="A1010" t="s">
        <v>116</v>
      </c>
      <c r="B1010" t="s">
        <v>110</v>
      </c>
      <c r="C1010" s="1">
        <v>42277</v>
      </c>
      <c r="D1010" t="s">
        <v>132</v>
      </c>
      <c r="E1010">
        <v>3</v>
      </c>
      <c r="F1010" s="12">
        <v>109</v>
      </c>
      <c r="G1010">
        <v>516</v>
      </c>
      <c r="H1010" s="13">
        <v>56198.879999999997</v>
      </c>
      <c r="I1010" s="1">
        <v>44108</v>
      </c>
      <c r="J1010">
        <v>10</v>
      </c>
      <c r="K1010">
        <v>330</v>
      </c>
      <c r="L1010">
        <v>59</v>
      </c>
      <c r="M1010" t="s">
        <v>159</v>
      </c>
      <c r="N1010" t="s">
        <v>154</v>
      </c>
    </row>
    <row r="1011" spans="1:14" x14ac:dyDescent="0.25">
      <c r="A1011" t="s">
        <v>51</v>
      </c>
      <c r="B1011" t="s">
        <v>49</v>
      </c>
      <c r="C1011" s="1">
        <v>42394</v>
      </c>
      <c r="D1011" t="s">
        <v>132</v>
      </c>
      <c r="E1011">
        <v>3</v>
      </c>
      <c r="F1011" s="12">
        <v>109</v>
      </c>
      <c r="G1011">
        <v>820</v>
      </c>
      <c r="H1011" s="13">
        <v>89334.88</v>
      </c>
      <c r="I1011" s="1">
        <v>42810</v>
      </c>
      <c r="J1011">
        <v>3</v>
      </c>
      <c r="K1011">
        <v>399</v>
      </c>
      <c r="L1011">
        <v>59</v>
      </c>
      <c r="M1011" t="s">
        <v>159</v>
      </c>
      <c r="N1011" t="s">
        <v>154</v>
      </c>
    </row>
    <row r="1012" spans="1:14" x14ac:dyDescent="0.25">
      <c r="A1012" t="s">
        <v>118</v>
      </c>
      <c r="B1012" t="s">
        <v>112</v>
      </c>
      <c r="C1012" s="1">
        <v>43001</v>
      </c>
      <c r="D1012" t="s">
        <v>132</v>
      </c>
      <c r="E1012">
        <v>3</v>
      </c>
      <c r="F1012" s="12">
        <v>109</v>
      </c>
      <c r="G1012">
        <v>727</v>
      </c>
      <c r="H1012" s="13">
        <v>79197.88</v>
      </c>
      <c r="I1012" s="1">
        <v>43536</v>
      </c>
      <c r="J1012">
        <v>3</v>
      </c>
      <c r="K1012">
        <v>544</v>
      </c>
      <c r="L1012">
        <v>59</v>
      </c>
      <c r="M1012" t="s">
        <v>159</v>
      </c>
      <c r="N1012" t="s">
        <v>154</v>
      </c>
    </row>
    <row r="1013" spans="1:14" x14ac:dyDescent="0.25">
      <c r="A1013" t="s">
        <v>63</v>
      </c>
      <c r="B1013" t="s">
        <v>58</v>
      </c>
      <c r="C1013" s="1">
        <v>43155</v>
      </c>
      <c r="D1013" t="s">
        <v>132</v>
      </c>
      <c r="E1013">
        <v>3</v>
      </c>
      <c r="F1013" s="12">
        <v>109</v>
      </c>
      <c r="G1013">
        <v>1601</v>
      </c>
      <c r="H1013" s="13">
        <v>174463.88</v>
      </c>
      <c r="I1013" s="1">
        <v>44296</v>
      </c>
      <c r="J1013">
        <v>4</v>
      </c>
      <c r="K1013">
        <v>13</v>
      </c>
      <c r="L1013">
        <v>54</v>
      </c>
      <c r="M1013" t="s">
        <v>156</v>
      </c>
      <c r="N1013" t="s">
        <v>154</v>
      </c>
    </row>
    <row r="1014" spans="1:14" x14ac:dyDescent="0.25">
      <c r="A1014" t="s">
        <v>103</v>
      </c>
      <c r="B1014" t="s">
        <v>100</v>
      </c>
      <c r="C1014" s="1">
        <v>42080</v>
      </c>
      <c r="D1014" t="s">
        <v>132</v>
      </c>
      <c r="E1014">
        <v>3</v>
      </c>
      <c r="F1014" s="12">
        <v>109</v>
      </c>
      <c r="G1014">
        <v>799</v>
      </c>
      <c r="H1014" s="13">
        <v>87045.88</v>
      </c>
      <c r="I1014" s="1">
        <v>43775</v>
      </c>
      <c r="J1014">
        <v>11</v>
      </c>
      <c r="K1014">
        <v>239</v>
      </c>
      <c r="L1014">
        <v>51</v>
      </c>
      <c r="M1014" t="s">
        <v>156</v>
      </c>
      <c r="N1014" t="s">
        <v>154</v>
      </c>
    </row>
    <row r="1015" spans="1:14" x14ac:dyDescent="0.25">
      <c r="A1015" t="s">
        <v>105</v>
      </c>
      <c r="B1015" t="s">
        <v>106</v>
      </c>
      <c r="C1015" s="1">
        <v>43451</v>
      </c>
      <c r="D1015" t="s">
        <v>132</v>
      </c>
      <c r="E1015">
        <v>3</v>
      </c>
      <c r="F1015" s="12">
        <v>109</v>
      </c>
      <c r="G1015">
        <v>740</v>
      </c>
      <c r="H1015" s="13">
        <v>80614.880000000005</v>
      </c>
      <c r="I1015" s="1">
        <v>43546</v>
      </c>
      <c r="J1015">
        <v>3</v>
      </c>
      <c r="K1015">
        <v>424</v>
      </c>
      <c r="L1015">
        <v>27</v>
      </c>
      <c r="M1015" t="s">
        <v>158</v>
      </c>
      <c r="N1015" t="s">
        <v>153</v>
      </c>
    </row>
    <row r="1016" spans="1:14" x14ac:dyDescent="0.25">
      <c r="A1016" t="s">
        <v>70</v>
      </c>
      <c r="B1016" t="s">
        <v>65</v>
      </c>
      <c r="C1016" s="1">
        <v>43523</v>
      </c>
      <c r="D1016" t="s">
        <v>132</v>
      </c>
      <c r="E1016">
        <v>3</v>
      </c>
      <c r="F1016" s="12">
        <v>109</v>
      </c>
      <c r="G1016">
        <v>786</v>
      </c>
      <c r="H1016" s="13">
        <v>85628.88</v>
      </c>
      <c r="I1016" s="1">
        <v>44138</v>
      </c>
      <c r="J1016">
        <v>11</v>
      </c>
      <c r="K1016">
        <v>252</v>
      </c>
      <c r="L1016">
        <v>57</v>
      </c>
      <c r="M1016" t="s">
        <v>159</v>
      </c>
      <c r="N1016" t="s">
        <v>154</v>
      </c>
    </row>
    <row r="1017" spans="1:14" x14ac:dyDescent="0.25">
      <c r="A1017" t="s">
        <v>118</v>
      </c>
      <c r="B1017" t="s">
        <v>112</v>
      </c>
      <c r="C1017" s="1">
        <v>43001</v>
      </c>
      <c r="D1017" t="s">
        <v>132</v>
      </c>
      <c r="E1017">
        <v>3</v>
      </c>
      <c r="F1017" s="12">
        <v>109</v>
      </c>
      <c r="G1017">
        <v>539</v>
      </c>
      <c r="H1017" s="13">
        <v>58705.88</v>
      </c>
      <c r="I1017" s="1">
        <v>43606</v>
      </c>
      <c r="J1017">
        <v>5</v>
      </c>
      <c r="K1017">
        <v>64</v>
      </c>
      <c r="L1017">
        <v>51</v>
      </c>
      <c r="M1017" t="s">
        <v>156</v>
      </c>
      <c r="N1017" t="s">
        <v>154</v>
      </c>
    </row>
    <row r="1018" spans="1:14" x14ac:dyDescent="0.25">
      <c r="A1018" t="s">
        <v>71</v>
      </c>
      <c r="B1018" t="s">
        <v>66</v>
      </c>
      <c r="C1018" s="1">
        <v>43621</v>
      </c>
      <c r="D1018" t="s">
        <v>132</v>
      </c>
      <c r="E1018">
        <v>3</v>
      </c>
      <c r="F1018" s="12">
        <v>109</v>
      </c>
      <c r="G1018">
        <v>846</v>
      </c>
      <c r="H1018" s="13">
        <v>92168.88</v>
      </c>
      <c r="I1018" s="1">
        <v>43862</v>
      </c>
      <c r="J1018">
        <v>2</v>
      </c>
      <c r="K1018">
        <v>510</v>
      </c>
      <c r="L1018">
        <v>53</v>
      </c>
      <c r="M1018" t="s">
        <v>156</v>
      </c>
      <c r="N1018" t="s">
        <v>153</v>
      </c>
    </row>
    <row r="1019" spans="1:14" x14ac:dyDescent="0.25">
      <c r="A1019" t="s">
        <v>114</v>
      </c>
      <c r="B1019" t="s">
        <v>108</v>
      </c>
      <c r="C1019" s="1">
        <v>42808</v>
      </c>
      <c r="D1019" t="s">
        <v>132</v>
      </c>
      <c r="E1019">
        <v>3</v>
      </c>
      <c r="F1019" s="12">
        <v>109</v>
      </c>
      <c r="G1019">
        <v>505</v>
      </c>
      <c r="H1019" s="13">
        <v>54999.88</v>
      </c>
      <c r="I1019" s="1">
        <v>43647</v>
      </c>
      <c r="J1019">
        <v>7</v>
      </c>
      <c r="K1019">
        <v>195</v>
      </c>
      <c r="L1019">
        <v>31</v>
      </c>
      <c r="M1019" t="s">
        <v>164</v>
      </c>
      <c r="N1019" t="s">
        <v>153</v>
      </c>
    </row>
    <row r="1020" spans="1:14" x14ac:dyDescent="0.25">
      <c r="A1020" t="s">
        <v>117</v>
      </c>
      <c r="B1020" t="s">
        <v>111</v>
      </c>
      <c r="C1020" s="1">
        <v>42729</v>
      </c>
      <c r="D1020" t="s">
        <v>132</v>
      </c>
      <c r="E1020">
        <v>3</v>
      </c>
      <c r="F1020" s="12">
        <v>109</v>
      </c>
      <c r="G1020">
        <v>299</v>
      </c>
      <c r="H1020" s="13">
        <v>32545.88</v>
      </c>
      <c r="I1020" s="1">
        <v>44452</v>
      </c>
      <c r="J1020">
        <v>9</v>
      </c>
      <c r="K1020">
        <v>304</v>
      </c>
      <c r="L1020">
        <v>20</v>
      </c>
      <c r="M1020" t="s">
        <v>160</v>
      </c>
      <c r="N1020" t="s">
        <v>153</v>
      </c>
    </row>
    <row r="1021" spans="1:14" x14ac:dyDescent="0.25">
      <c r="A1021" t="s">
        <v>83</v>
      </c>
      <c r="B1021" t="s">
        <v>84</v>
      </c>
      <c r="C1021" s="1">
        <v>43427</v>
      </c>
      <c r="D1021" t="s">
        <v>132</v>
      </c>
      <c r="E1021">
        <v>3</v>
      </c>
      <c r="F1021" s="12">
        <v>109</v>
      </c>
      <c r="G1021">
        <v>444</v>
      </c>
      <c r="H1021" s="13">
        <v>48350.879999999997</v>
      </c>
      <c r="I1021" s="1">
        <v>43792</v>
      </c>
      <c r="J1021">
        <v>11</v>
      </c>
      <c r="K1021">
        <v>469</v>
      </c>
      <c r="L1021">
        <v>57</v>
      </c>
      <c r="M1021" t="s">
        <v>159</v>
      </c>
      <c r="N1021" t="s">
        <v>153</v>
      </c>
    </row>
    <row r="1022" spans="1:14" x14ac:dyDescent="0.25">
      <c r="A1022" t="s">
        <v>114</v>
      </c>
      <c r="B1022" t="s">
        <v>108</v>
      </c>
      <c r="C1022" s="1">
        <v>42808</v>
      </c>
      <c r="D1022" t="s">
        <v>132</v>
      </c>
      <c r="E1022">
        <v>3</v>
      </c>
      <c r="F1022" s="12">
        <v>109</v>
      </c>
      <c r="G1022">
        <v>695</v>
      </c>
      <c r="H1022" s="13">
        <v>75709.88</v>
      </c>
      <c r="I1022" s="1">
        <v>42898</v>
      </c>
      <c r="J1022">
        <v>6</v>
      </c>
      <c r="K1022">
        <v>456</v>
      </c>
      <c r="L1022">
        <v>59</v>
      </c>
      <c r="M1022" t="s">
        <v>159</v>
      </c>
      <c r="N1022" t="s">
        <v>154</v>
      </c>
    </row>
    <row r="1023" spans="1:14" x14ac:dyDescent="0.25">
      <c r="A1023" t="s">
        <v>116</v>
      </c>
      <c r="B1023" t="s">
        <v>110</v>
      </c>
      <c r="C1023" s="1">
        <v>42277</v>
      </c>
      <c r="D1023" t="s">
        <v>132</v>
      </c>
      <c r="E1023">
        <v>3</v>
      </c>
      <c r="F1023" s="12">
        <v>109</v>
      </c>
      <c r="G1023">
        <v>540</v>
      </c>
      <c r="H1023" s="13">
        <v>58814.879999999997</v>
      </c>
      <c r="I1023" s="1">
        <v>42885</v>
      </c>
      <c r="J1023">
        <v>5</v>
      </c>
      <c r="K1023">
        <v>49</v>
      </c>
      <c r="L1023">
        <v>23</v>
      </c>
      <c r="M1023" t="s">
        <v>160</v>
      </c>
      <c r="N1023" t="s">
        <v>154</v>
      </c>
    </row>
    <row r="1024" spans="1:14" x14ac:dyDescent="0.25">
      <c r="A1024" t="s">
        <v>90</v>
      </c>
      <c r="B1024" t="s">
        <v>86</v>
      </c>
      <c r="C1024" s="1">
        <v>43995</v>
      </c>
      <c r="D1024" t="s">
        <v>132</v>
      </c>
      <c r="E1024">
        <v>3</v>
      </c>
      <c r="F1024" s="12">
        <v>109</v>
      </c>
      <c r="G1024">
        <v>1474</v>
      </c>
      <c r="H1024" s="13">
        <v>160620.88</v>
      </c>
      <c r="I1024" s="1">
        <v>44288</v>
      </c>
      <c r="J1024">
        <v>4</v>
      </c>
      <c r="K1024">
        <v>334</v>
      </c>
      <c r="L1024">
        <v>28</v>
      </c>
      <c r="M1024" t="s">
        <v>158</v>
      </c>
      <c r="N1024" t="s">
        <v>153</v>
      </c>
    </row>
    <row r="1025" spans="1:14" x14ac:dyDescent="0.25">
      <c r="A1025" t="s">
        <v>51</v>
      </c>
      <c r="B1025" t="s">
        <v>49</v>
      </c>
      <c r="C1025" s="1">
        <v>42394</v>
      </c>
      <c r="D1025" t="s">
        <v>132</v>
      </c>
      <c r="E1025">
        <v>3</v>
      </c>
      <c r="F1025" s="12">
        <v>109</v>
      </c>
      <c r="G1025">
        <v>1565</v>
      </c>
      <c r="H1025" s="13">
        <v>170539.88</v>
      </c>
      <c r="I1025" s="1">
        <v>44303</v>
      </c>
      <c r="J1025">
        <v>4</v>
      </c>
      <c r="K1025">
        <v>594</v>
      </c>
      <c r="L1025">
        <v>55</v>
      </c>
      <c r="M1025" t="s">
        <v>156</v>
      </c>
      <c r="N1025" t="s">
        <v>154</v>
      </c>
    </row>
    <row r="1026" spans="1:14" x14ac:dyDescent="0.25">
      <c r="A1026" t="s">
        <v>32</v>
      </c>
      <c r="B1026" t="s">
        <v>28</v>
      </c>
      <c r="C1026" s="1">
        <v>43161</v>
      </c>
      <c r="D1026" t="s">
        <v>132</v>
      </c>
      <c r="E1026">
        <v>3</v>
      </c>
      <c r="F1026" s="12">
        <v>109</v>
      </c>
      <c r="G1026">
        <v>542</v>
      </c>
      <c r="H1026" s="13">
        <v>59032.88</v>
      </c>
      <c r="I1026" s="1">
        <v>43974</v>
      </c>
      <c r="J1026">
        <v>5</v>
      </c>
      <c r="K1026">
        <v>399</v>
      </c>
      <c r="L1026">
        <v>59</v>
      </c>
      <c r="M1026" t="s">
        <v>159</v>
      </c>
      <c r="N1026" t="s">
        <v>154</v>
      </c>
    </row>
    <row r="1027" spans="1:14" x14ac:dyDescent="0.25">
      <c r="A1027" t="s">
        <v>83</v>
      </c>
      <c r="B1027" t="s">
        <v>84</v>
      </c>
      <c r="C1027" s="1">
        <v>43427</v>
      </c>
      <c r="D1027" t="s">
        <v>132</v>
      </c>
      <c r="E1027">
        <v>3</v>
      </c>
      <c r="F1027" s="12">
        <v>109</v>
      </c>
      <c r="G1027">
        <v>1150</v>
      </c>
      <c r="H1027" s="13">
        <v>125304.88</v>
      </c>
      <c r="I1027" s="1">
        <v>43869</v>
      </c>
      <c r="J1027">
        <v>2</v>
      </c>
      <c r="K1027">
        <v>537</v>
      </c>
      <c r="L1027">
        <v>55</v>
      </c>
      <c r="M1027" t="s">
        <v>156</v>
      </c>
      <c r="N1027" t="s">
        <v>153</v>
      </c>
    </row>
    <row r="1028" spans="1:14" x14ac:dyDescent="0.25">
      <c r="A1028" t="s">
        <v>45</v>
      </c>
      <c r="B1028" t="s">
        <v>38</v>
      </c>
      <c r="C1028" s="1">
        <v>43534</v>
      </c>
      <c r="D1028" t="s">
        <v>132</v>
      </c>
      <c r="E1028">
        <v>3</v>
      </c>
      <c r="F1028" s="12">
        <v>109</v>
      </c>
      <c r="G1028">
        <v>432</v>
      </c>
      <c r="H1028" s="13">
        <v>47042.879999999997</v>
      </c>
      <c r="I1028" s="1">
        <v>43860</v>
      </c>
      <c r="J1028">
        <v>1</v>
      </c>
      <c r="K1028">
        <v>436</v>
      </c>
      <c r="L1028">
        <v>58</v>
      </c>
      <c r="M1028" t="s">
        <v>159</v>
      </c>
      <c r="N1028" t="s">
        <v>153</v>
      </c>
    </row>
    <row r="1029" spans="1:14" x14ac:dyDescent="0.25">
      <c r="A1029" t="s">
        <v>103</v>
      </c>
      <c r="B1029" t="s">
        <v>100</v>
      </c>
      <c r="C1029" s="1">
        <v>42080</v>
      </c>
      <c r="D1029" t="s">
        <v>132</v>
      </c>
      <c r="E1029">
        <v>3</v>
      </c>
      <c r="F1029" s="12">
        <v>109</v>
      </c>
      <c r="G1029">
        <v>1531</v>
      </c>
      <c r="H1029" s="13">
        <v>166833.88</v>
      </c>
      <c r="I1029" s="1">
        <v>43140</v>
      </c>
      <c r="J1029">
        <v>2</v>
      </c>
      <c r="K1029">
        <v>257</v>
      </c>
      <c r="L1029">
        <v>50</v>
      </c>
      <c r="M1029" t="s">
        <v>163</v>
      </c>
      <c r="N1029" t="s">
        <v>154</v>
      </c>
    </row>
    <row r="1030" spans="1:14" x14ac:dyDescent="0.25">
      <c r="A1030" t="s">
        <v>41</v>
      </c>
      <c r="B1030" t="s">
        <v>36</v>
      </c>
      <c r="C1030" s="1">
        <v>42880</v>
      </c>
      <c r="D1030" t="s">
        <v>132</v>
      </c>
      <c r="E1030">
        <v>3</v>
      </c>
      <c r="F1030" s="12">
        <v>109</v>
      </c>
      <c r="G1030">
        <v>436</v>
      </c>
      <c r="H1030" s="13">
        <v>47478.879999999997</v>
      </c>
      <c r="I1030" s="1">
        <v>42902</v>
      </c>
      <c r="J1030">
        <v>6</v>
      </c>
      <c r="K1030">
        <v>273</v>
      </c>
      <c r="L1030">
        <v>60</v>
      </c>
      <c r="M1030" t="s">
        <v>159</v>
      </c>
      <c r="N1030" t="s">
        <v>154</v>
      </c>
    </row>
    <row r="1031" spans="1:14" x14ac:dyDescent="0.25">
      <c r="A1031" t="s">
        <v>45</v>
      </c>
      <c r="B1031" t="s">
        <v>38</v>
      </c>
      <c r="C1031" s="1">
        <v>43534</v>
      </c>
      <c r="D1031" t="s">
        <v>132</v>
      </c>
      <c r="E1031">
        <v>3</v>
      </c>
      <c r="F1031" s="12">
        <v>109</v>
      </c>
      <c r="G1031">
        <v>792</v>
      </c>
      <c r="H1031" s="13">
        <v>86282.880000000005</v>
      </c>
      <c r="I1031" s="1">
        <v>43976</v>
      </c>
      <c r="J1031">
        <v>5</v>
      </c>
      <c r="K1031">
        <v>317</v>
      </c>
      <c r="L1031">
        <v>65</v>
      </c>
      <c r="M1031" t="s">
        <v>157</v>
      </c>
      <c r="N1031" t="s">
        <v>154</v>
      </c>
    </row>
    <row r="1032" spans="1:14" x14ac:dyDescent="0.25">
      <c r="A1032" t="s">
        <v>95</v>
      </c>
      <c r="B1032" t="s">
        <v>96</v>
      </c>
      <c r="C1032" s="1">
        <v>43758</v>
      </c>
      <c r="D1032" t="s">
        <v>132</v>
      </c>
      <c r="E1032">
        <v>3</v>
      </c>
      <c r="F1032" s="12">
        <v>109</v>
      </c>
      <c r="G1032">
        <v>109</v>
      </c>
      <c r="H1032" s="13">
        <v>11835.88</v>
      </c>
      <c r="I1032" s="1">
        <v>44337</v>
      </c>
      <c r="J1032">
        <v>5</v>
      </c>
      <c r="K1032">
        <v>329</v>
      </c>
      <c r="L1032">
        <v>65</v>
      </c>
      <c r="M1032" t="s">
        <v>157</v>
      </c>
      <c r="N1032" t="s">
        <v>154</v>
      </c>
    </row>
    <row r="1033" spans="1:14" x14ac:dyDescent="0.25">
      <c r="A1033" t="s">
        <v>97</v>
      </c>
      <c r="B1033" t="s">
        <v>98</v>
      </c>
      <c r="C1033" s="1">
        <v>42388</v>
      </c>
      <c r="D1033" t="s">
        <v>132</v>
      </c>
      <c r="E1033">
        <v>3</v>
      </c>
      <c r="F1033" s="12">
        <v>109</v>
      </c>
      <c r="G1033">
        <v>290</v>
      </c>
      <c r="H1033" s="13">
        <v>31564.880000000001</v>
      </c>
      <c r="I1033" s="1">
        <v>43012</v>
      </c>
      <c r="J1033">
        <v>10</v>
      </c>
      <c r="K1033">
        <v>158</v>
      </c>
      <c r="L1033">
        <v>50</v>
      </c>
      <c r="M1033" t="s">
        <v>163</v>
      </c>
      <c r="N1033" t="s">
        <v>154</v>
      </c>
    </row>
    <row r="1034" spans="1:14" x14ac:dyDescent="0.25">
      <c r="A1034" t="s">
        <v>89</v>
      </c>
      <c r="B1034" t="s">
        <v>85</v>
      </c>
      <c r="C1034" s="1">
        <v>43093</v>
      </c>
      <c r="D1034" t="s">
        <v>132</v>
      </c>
      <c r="E1034">
        <v>3</v>
      </c>
      <c r="F1034" s="12">
        <v>109</v>
      </c>
      <c r="G1034">
        <v>724</v>
      </c>
      <c r="H1034" s="13">
        <v>78870.880000000005</v>
      </c>
      <c r="I1034" s="1">
        <v>43839</v>
      </c>
      <c r="J1034">
        <v>1</v>
      </c>
      <c r="K1034">
        <v>133</v>
      </c>
      <c r="L1034">
        <v>56</v>
      </c>
      <c r="M1034" t="s">
        <v>159</v>
      </c>
      <c r="N1034" t="s">
        <v>154</v>
      </c>
    </row>
    <row r="1035" spans="1:14" x14ac:dyDescent="0.25">
      <c r="A1035" t="s">
        <v>113</v>
      </c>
      <c r="B1035" t="s">
        <v>107</v>
      </c>
      <c r="C1035" s="1">
        <v>43912</v>
      </c>
      <c r="D1035" t="s">
        <v>132</v>
      </c>
      <c r="E1035">
        <v>3</v>
      </c>
      <c r="F1035" s="12">
        <v>109</v>
      </c>
      <c r="G1035">
        <v>1532</v>
      </c>
      <c r="H1035" s="13">
        <v>166942.88</v>
      </c>
      <c r="I1035" s="1">
        <v>44292</v>
      </c>
      <c r="J1035">
        <v>4</v>
      </c>
      <c r="K1035">
        <v>312</v>
      </c>
      <c r="L1035">
        <v>55</v>
      </c>
      <c r="M1035" t="s">
        <v>156</v>
      </c>
      <c r="N1035" t="s">
        <v>154</v>
      </c>
    </row>
    <row r="1036" spans="1:14" x14ac:dyDescent="0.25">
      <c r="A1036" t="s">
        <v>51</v>
      </c>
      <c r="B1036" t="s">
        <v>49</v>
      </c>
      <c r="C1036" s="1">
        <v>42394</v>
      </c>
      <c r="D1036" t="s">
        <v>132</v>
      </c>
      <c r="E1036">
        <v>3</v>
      </c>
      <c r="F1036" s="12">
        <v>109</v>
      </c>
      <c r="G1036">
        <v>721</v>
      </c>
      <c r="H1036" s="13">
        <v>78543.88</v>
      </c>
      <c r="I1036" s="1">
        <v>43059</v>
      </c>
      <c r="J1036">
        <v>11</v>
      </c>
      <c r="K1036">
        <v>60</v>
      </c>
      <c r="L1036">
        <v>36</v>
      </c>
      <c r="M1036" t="s">
        <v>161</v>
      </c>
      <c r="N1036" t="s">
        <v>153</v>
      </c>
    </row>
    <row r="1037" spans="1:14" x14ac:dyDescent="0.25">
      <c r="A1037" t="s">
        <v>31</v>
      </c>
      <c r="B1037" t="s">
        <v>27</v>
      </c>
      <c r="C1037" s="1">
        <v>42433</v>
      </c>
      <c r="D1037" t="s">
        <v>132</v>
      </c>
      <c r="E1037">
        <v>3</v>
      </c>
      <c r="F1037" s="12">
        <v>109</v>
      </c>
      <c r="G1037">
        <v>683</v>
      </c>
      <c r="H1037" s="13">
        <v>74401.88</v>
      </c>
      <c r="I1037" s="1">
        <v>44189</v>
      </c>
      <c r="J1037">
        <v>12</v>
      </c>
      <c r="K1037">
        <v>252</v>
      </c>
      <c r="L1037">
        <v>57</v>
      </c>
      <c r="M1037" t="s">
        <v>159</v>
      </c>
      <c r="N1037" t="s">
        <v>154</v>
      </c>
    </row>
    <row r="1038" spans="1:14" x14ac:dyDescent="0.25">
      <c r="A1038" t="s">
        <v>75</v>
      </c>
      <c r="B1038" t="s">
        <v>76</v>
      </c>
      <c r="C1038" s="1">
        <v>43003</v>
      </c>
      <c r="D1038" t="s">
        <v>132</v>
      </c>
      <c r="E1038">
        <v>3</v>
      </c>
      <c r="F1038" s="12">
        <v>109</v>
      </c>
      <c r="G1038">
        <v>838</v>
      </c>
      <c r="H1038" s="13">
        <v>91296.88</v>
      </c>
      <c r="I1038" s="1">
        <v>43883</v>
      </c>
      <c r="J1038">
        <v>2</v>
      </c>
      <c r="K1038">
        <v>546</v>
      </c>
      <c r="L1038">
        <v>56</v>
      </c>
      <c r="M1038" t="s">
        <v>159</v>
      </c>
      <c r="N1038" t="s">
        <v>153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14170AD08CD84791A27D153F5B634B" ma:contentTypeVersion="0" ma:contentTypeDescription="Create a new document." ma:contentTypeScope="" ma:versionID="5429c1527982b506b3a2dcd5af97d52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e53ec00ec453a1eec4584499b9bdd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pc="http://schemas.microsoft.com/office/infopath/2007/PartnerControl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A11FD15B-C292-4476-9AA9-A2FF2D0A22B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2C849-2538-4665-AED1-7E13010FAC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E5211F8-A83C-4A0E-89EA-EB022F37C477}">
  <ds:schemaRefs>
    <ds:schemaRef ds:uri="http://gemini/pivotcustomization/LinkedTables"/>
  </ds:schemaRefs>
</ds:datastoreItem>
</file>

<file path=customXml/itemProps4.xml><?xml version="1.0" encoding="utf-8"?>
<ds:datastoreItem xmlns:ds="http://schemas.openxmlformats.org/officeDocument/2006/customXml" ds:itemID="{36101D31-F691-4436-A911-BDE8158BB67A}">
  <ds:schemaRefs>
    <ds:schemaRef ds:uri="http://www.w3.org/XML/1998/namespace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MAIN</vt:lpstr>
      <vt:lpstr>CUSTOMERS</vt:lpstr>
      <vt:lpstr>BRANCHES</vt:lpstr>
      <vt:lpstr>SEGMENTS</vt:lpstr>
      <vt:lpstr>PRODUCTS</vt:lpstr>
      <vt:lpstr>RAW MATERIALS</vt:lpstr>
      <vt:lpstr>BOM</vt:lpstr>
      <vt:lpstr>SALES-SAMLA</vt:lpstr>
      <vt:lpstr>SALES-DRAGON</vt:lpstr>
      <vt:lpstr>SALES-ANDREA</vt:lpstr>
      <vt:lpstr>SALES-NORDEN</vt:lpstr>
      <vt:lpstr>SALES-FLISAT</vt:lpstr>
      <vt:lpstr>SALES-MULA</vt:lpstr>
      <vt:lpstr>SALES-TARVA</vt:lpstr>
      <vt:lpstr>PRODUCT ANALYSIS</vt:lpstr>
      <vt:lpstr>DATA FOR POWERBI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UMY</dc:creator>
  <cp:lastModifiedBy>Selimhan</cp:lastModifiedBy>
  <dcterms:created xsi:type="dcterms:W3CDTF">2014-01-28T02:45:41Z</dcterms:created>
  <dcterms:modified xsi:type="dcterms:W3CDTF">2022-01-19T13:43:05Z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ContentTypeId">
    <vt:lpwstr>0x0101002914170AD08CD84791A27D153F5B634B</vt:lpwstr>
  </property>
</Properties>
</file>